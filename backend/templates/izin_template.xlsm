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BuÇalışmaKitabı" defaultThemeVersion="166925"/>
  <mc:AlternateContent xmlns:mc="http://schemas.openxmlformats.org/markup-compatibility/2006">
    <mc:Choice Requires="x15">
      <x15ac:absPath xmlns:x15ac="http://schemas.microsoft.com/office/spreadsheetml/2010/11/ac" url="C:\Users\muhammed muslu\Desktop\"/>
    </mc:Choice>
  </mc:AlternateContent>
  <xr:revisionPtr revIDLastSave="0" documentId="13_ncr:1_{C645B5C6-3C06-45B8-8A16-C5CB8B4E35B9}" xr6:coauthVersionLast="47" xr6:coauthVersionMax="47" xr10:uidLastSave="{00000000-0000-0000-0000-000000000000}"/>
  <bookViews>
    <workbookView xWindow="-120" yWindow="-120" windowWidth="38640" windowHeight="21240" xr2:uid="{4AE17C55-83C8-4A96-81AA-8F8B58EB503D}"/>
  </bookViews>
  <sheets>
    <sheet name="Ana Sayfa" sheetId="16" r:id="rId1"/>
    <sheet name="İzin Giriş" sheetId="8" r:id="rId2"/>
    <sheet name="Personel" sheetId="1" r:id="rId3"/>
    <sheet name="İşten Ayrılanlar" sheetId="21" r:id="rId4"/>
    <sheet name="ÖZEL İZİNLER" sheetId="19" r:id="rId5"/>
    <sheet name="Yeni Personel Listesi" sheetId="22" r:id="rId6"/>
    <sheet name="RAPOR" sheetId="23" r:id="rId7"/>
    <sheet name="İZİN TALEP FORMU" sheetId="17" r:id="rId8"/>
    <sheet name="MUVAFAKATNAME" sheetId="18" r:id="rId9"/>
    <sheet name="İZİN CETVELİ" sheetId="24" r:id="rId10"/>
    <sheet name="İZİN BİRLEŞTİRİLEN TARİH" sheetId="25" r:id="rId11"/>
    <sheet name="Tatiller" sheetId="9" state="hidden" r:id="rId12"/>
    <sheet name="Ayarlar" sheetId="10" state="hidden" r:id="rId13"/>
    <sheet name="Veri" sheetId="12" state="hidden" r:id="rId14"/>
    <sheet name="Veri2" sheetId="13" state="hidden" r:id="rId15"/>
  </sheets>
  <functionGroups builtInGroupCount="19"/>
  <definedNames>
    <definedName name="_xlnm._FilterDatabase" localSheetId="1" hidden="1">'İzin Giriş'!$G$4:$G$86</definedName>
    <definedName name="_xlnm._FilterDatabase" localSheetId="2" hidden="1">Personel!$F$4:$G$4</definedName>
    <definedName name="_xlnm._FilterDatabase" localSheetId="5" hidden="1">'Yeni Personel Listesi'!$A$1:$AB$1</definedName>
    <definedName name="_xleta.DATE" hidden="1" xlm="1">#NAME?</definedName>
    <definedName name="_xleta.SHEET" hidden="1" xlm="1">#NAME?</definedName>
    <definedName name="_xleta.TODAY" hidden="1" xlm="1">#NAME?</definedName>
    <definedName name="_xleta.WORKDAY.INTL" hidden="1" xlm="1">#NAME?</definedName>
    <definedName name="ID">Tablo3[Sicil No]</definedName>
    <definedName name="İsim">Tablo3[Adı Soyadı]</definedName>
    <definedName name="Marka">#REF!</definedName>
    <definedName name="Model">#REF!</definedName>
    <definedName name="Personel">Tablo3[Adı Soyadı]</definedName>
    <definedName name="Personeller">#REF!</definedName>
    <definedName name="Resmi_Tatil">tbl_resmi_tatiller[#All]</definedName>
    <definedName name="_xlnm.Print_Area" localSheetId="1">'İzin Giriş'!$H$4:$L$86</definedName>
    <definedName name="_xlnm.Print_Area" localSheetId="6">RAPOR!$A$1:$E$16</definedName>
    <definedName name="_xlnm.Print_Titles" localSheetId="6">RAPOR!$1:$1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20" i="16" l="1"/>
  <c r="M86" i="8" l="1"/>
  <c r="M37" i="8"/>
  <c r="E15" i="17"/>
  <c r="M85" i="8"/>
  <c r="B29" i="17" l="1"/>
  <c r="M35" i="8"/>
  <c r="M74" i="8" l="1"/>
  <c r="M38" i="8"/>
  <c r="M39" i="8"/>
  <c r="M40" i="8"/>
  <c r="M41" i="8"/>
  <c r="M42" i="8"/>
  <c r="M43" i="8"/>
  <c r="M44" i="8"/>
  <c r="M45" i="8"/>
  <c r="M46" i="8"/>
  <c r="M47" i="8"/>
  <c r="M48" i="8"/>
  <c r="M49" i="8"/>
  <c r="M50" i="8"/>
  <c r="M51" i="8"/>
  <c r="M20" i="8"/>
  <c r="M52" i="8"/>
  <c r="M53" i="8"/>
  <c r="M21" i="8"/>
  <c r="M54" i="8"/>
  <c r="M55" i="8"/>
  <c r="M56" i="8"/>
  <c r="M22" i="8"/>
  <c r="M57" i="8"/>
  <c r="M23" i="8"/>
  <c r="M5" i="8"/>
  <c r="M58" i="8"/>
  <c r="M6" i="8"/>
  <c r="M24" i="8"/>
  <c r="M7" i="8"/>
  <c r="M59" i="8"/>
  <c r="M25" i="8"/>
  <c r="M8" i="8"/>
  <c r="M75" i="8"/>
  <c r="M60" i="8"/>
  <c r="M26" i="8"/>
  <c r="M9" i="8"/>
  <c r="M76" i="8"/>
  <c r="M61" i="8"/>
  <c r="M10" i="8"/>
  <c r="M77" i="8"/>
  <c r="M62" i="8"/>
  <c r="M27" i="8"/>
  <c r="M11" i="8"/>
  <c r="M78" i="8"/>
  <c r="M63" i="8"/>
  <c r="M64" i="8"/>
  <c r="M28" i="8"/>
  <c r="M79" i="8"/>
  <c r="M12" i="8"/>
  <c r="M13" i="8"/>
  <c r="M65" i="8"/>
  <c r="M66" i="8"/>
  <c r="M67" i="8"/>
  <c r="M29" i="8"/>
  <c r="M14" i="8"/>
  <c r="M80" i="8"/>
  <c r="M30" i="8"/>
  <c r="M15" i="8"/>
  <c r="M81" i="8"/>
  <c r="M68" i="8"/>
  <c r="M73" i="8"/>
  <c r="M31" i="8"/>
  <c r="M16" i="8"/>
  <c r="M69" i="8"/>
  <c r="M32" i="8"/>
  <c r="M36" i="8"/>
  <c r="M17" i="8"/>
  <c r="M82" i="8"/>
  <c r="M70" i="8"/>
  <c r="M71" i="8"/>
  <c r="M72" i="8"/>
  <c r="M18" i="8"/>
  <c r="M33" i="8"/>
  <c r="M83" i="8"/>
  <c r="M19" i="8"/>
  <c r="M34" i="8"/>
  <c r="M84" i="8"/>
  <c r="AJ22" i="16" l="1"/>
  <c r="AJ20" i="16"/>
  <c r="J7" i="1" l="1"/>
  <c r="J6" i="1"/>
  <c r="J5" i="1"/>
  <c r="J8" i="1"/>
  <c r="AY7" i="1"/>
  <c r="AZ7" i="1"/>
  <c r="BA7" i="1"/>
  <c r="BB7" i="1"/>
  <c r="BC7" i="1"/>
  <c r="BD7" i="1"/>
  <c r="BE7" i="1"/>
  <c r="BF7" i="1"/>
  <c r="BG7" i="1"/>
  <c r="BH7" i="1"/>
  <c r="BI7" i="1"/>
  <c r="BJ7" i="1"/>
  <c r="BK7" i="1"/>
  <c r="BL7" i="1"/>
  <c r="BM7" i="1"/>
  <c r="BN7" i="1"/>
  <c r="BO7" i="1"/>
  <c r="BP7" i="1"/>
  <c r="BQ7" i="1"/>
  <c r="BR7" i="1"/>
  <c r="BS7" i="1"/>
  <c r="BT7" i="1"/>
  <c r="BU7" i="1"/>
  <c r="BV7" i="1"/>
  <c r="AY6" i="1"/>
  <c r="AZ6" i="1"/>
  <c r="BA6" i="1"/>
  <c r="BB6" i="1"/>
  <c r="BC6" i="1"/>
  <c r="BD6" i="1"/>
  <c r="BE6" i="1"/>
  <c r="BF6" i="1"/>
  <c r="BG6" i="1"/>
  <c r="BH6" i="1"/>
  <c r="BI6" i="1"/>
  <c r="BJ6" i="1"/>
  <c r="BK6" i="1"/>
  <c r="BL6" i="1"/>
  <c r="BM6" i="1"/>
  <c r="BN6" i="1"/>
  <c r="BO6" i="1"/>
  <c r="BP6" i="1"/>
  <c r="BQ6" i="1"/>
  <c r="BR6" i="1"/>
  <c r="BS6" i="1"/>
  <c r="BT6" i="1"/>
  <c r="BU6" i="1"/>
  <c r="BV6" i="1"/>
  <c r="AY5" i="1"/>
  <c r="AZ5" i="1"/>
  <c r="BA5" i="1"/>
  <c r="BB5" i="1"/>
  <c r="BC5" i="1"/>
  <c r="BD5" i="1"/>
  <c r="BE5" i="1"/>
  <c r="BF5" i="1"/>
  <c r="BG5" i="1"/>
  <c r="BH5" i="1"/>
  <c r="BI5" i="1"/>
  <c r="BJ5" i="1"/>
  <c r="BK5" i="1"/>
  <c r="BL5" i="1"/>
  <c r="BM5" i="1"/>
  <c r="BN5" i="1"/>
  <c r="BO5" i="1"/>
  <c r="BP5" i="1"/>
  <c r="BQ5" i="1"/>
  <c r="BR5" i="1"/>
  <c r="BS5" i="1"/>
  <c r="BT5" i="1"/>
  <c r="BU5" i="1"/>
  <c r="BV5" i="1"/>
  <c r="AY8" i="1"/>
  <c r="AZ8" i="1"/>
  <c r="BA8" i="1"/>
  <c r="BB8" i="1"/>
  <c r="BC8" i="1"/>
  <c r="BD8" i="1"/>
  <c r="BE8" i="1"/>
  <c r="BF8" i="1"/>
  <c r="BG8" i="1"/>
  <c r="BH8" i="1"/>
  <c r="BI8" i="1"/>
  <c r="BJ8" i="1"/>
  <c r="BK8" i="1"/>
  <c r="BL8" i="1"/>
  <c r="BM8" i="1"/>
  <c r="BN8" i="1"/>
  <c r="BO8" i="1"/>
  <c r="BP8" i="1"/>
  <c r="BQ8" i="1"/>
  <c r="BR8" i="1"/>
  <c r="BS8" i="1"/>
  <c r="BT8" i="1"/>
  <c r="BU8" i="1"/>
  <c r="BV8" i="1"/>
  <c r="AX7" i="1"/>
  <c r="AX6" i="1"/>
  <c r="AX5" i="1"/>
  <c r="AX8" i="1"/>
  <c r="AW7" i="1"/>
  <c r="AW6" i="1"/>
  <c r="AW5" i="1"/>
  <c r="AW8" i="1"/>
  <c r="U18" i="16" l="1"/>
  <c r="AN25" i="16" s="1"/>
  <c r="AV8" i="1"/>
  <c r="AV5" i="1"/>
  <c r="AV7" i="1"/>
  <c r="AU7" i="1"/>
  <c r="AU6" i="1"/>
  <c r="AU5" i="1"/>
  <c r="AU8" i="1"/>
  <c r="B20" i="17" l="1"/>
  <c r="G17" i="18" l="1"/>
  <c r="A28" i="17"/>
  <c r="E14" i="17"/>
  <c r="AB25" i="16" l="1" a="1"/>
  <c r="Q8" i="1" l="1"/>
  <c r="Q6" i="1"/>
  <c r="Q7" i="1"/>
  <c r="Q5" i="1"/>
  <c r="S8" i="1"/>
  <c r="S6" i="1"/>
  <c r="S7" i="1"/>
  <c r="S5" i="1"/>
  <c r="T8" i="1"/>
  <c r="T6" i="1"/>
  <c r="T7" i="1"/>
  <c r="T5" i="1"/>
  <c r="U8" i="1"/>
  <c r="U6" i="1"/>
  <c r="U7" i="1"/>
  <c r="U5" i="1"/>
  <c r="V8" i="1"/>
  <c r="V6" i="1"/>
  <c r="V7" i="1"/>
  <c r="V5" i="1"/>
  <c r="W8" i="1"/>
  <c r="W6" i="1"/>
  <c r="W7" i="1"/>
  <c r="W5" i="1"/>
  <c r="X8" i="1"/>
  <c r="X6" i="1"/>
  <c r="X7" i="1"/>
  <c r="X5" i="1"/>
  <c r="Y8" i="1"/>
  <c r="Y6" i="1"/>
  <c r="Y7" i="1"/>
  <c r="Y5" i="1"/>
  <c r="Z8" i="1"/>
  <c r="Z6" i="1"/>
  <c r="Z7" i="1"/>
  <c r="Z5" i="1"/>
  <c r="AA8" i="1"/>
  <c r="AA6" i="1"/>
  <c r="AA7" i="1"/>
  <c r="AA5" i="1"/>
  <c r="AB8" i="1"/>
  <c r="AB6" i="1"/>
  <c r="AB7" i="1"/>
  <c r="AB5" i="1"/>
  <c r="AC8" i="1"/>
  <c r="AC6" i="1"/>
  <c r="AC7" i="1"/>
  <c r="AC5" i="1"/>
  <c r="AD8" i="1"/>
  <c r="AD6" i="1"/>
  <c r="AD7" i="1"/>
  <c r="AD5" i="1"/>
  <c r="AE8" i="1"/>
  <c r="AE6" i="1"/>
  <c r="AE7" i="1"/>
  <c r="AE5" i="1"/>
  <c r="AF8" i="1"/>
  <c r="AF6" i="1"/>
  <c r="AF7" i="1"/>
  <c r="AF5" i="1"/>
  <c r="AG8" i="1"/>
  <c r="AG6" i="1"/>
  <c r="AG7" i="1"/>
  <c r="AG5" i="1"/>
  <c r="AH8" i="1"/>
  <c r="AH6" i="1"/>
  <c r="AH7" i="1"/>
  <c r="AH5" i="1"/>
  <c r="AI8" i="1"/>
  <c r="AI6" i="1"/>
  <c r="AI7" i="1"/>
  <c r="AI5" i="1"/>
  <c r="AJ8" i="1"/>
  <c r="AJ6" i="1"/>
  <c r="AJ7" i="1"/>
  <c r="AJ5" i="1"/>
  <c r="AK8" i="1"/>
  <c r="AK6" i="1"/>
  <c r="AK7" i="1"/>
  <c r="AK5" i="1"/>
  <c r="AL8" i="1"/>
  <c r="AL6" i="1"/>
  <c r="AL7" i="1"/>
  <c r="AL5" i="1"/>
  <c r="AM8" i="1"/>
  <c r="AM6" i="1"/>
  <c r="AM7" i="1"/>
  <c r="AM5" i="1"/>
  <c r="AN8" i="1"/>
  <c r="AN6" i="1"/>
  <c r="AN7" i="1"/>
  <c r="AN5" i="1"/>
  <c r="AO8" i="1"/>
  <c r="AO6" i="1"/>
  <c r="AO7" i="1"/>
  <c r="AO5" i="1"/>
  <c r="AP8" i="1"/>
  <c r="AP6" i="1"/>
  <c r="AP7" i="1"/>
  <c r="AP5" i="1"/>
  <c r="AQ8" i="1"/>
  <c r="AQ6" i="1"/>
  <c r="AQ7" i="1"/>
  <c r="AQ5" i="1"/>
  <c r="AR8" i="1"/>
  <c r="AR6" i="1"/>
  <c r="AR7" i="1"/>
  <c r="AR5" i="1"/>
  <c r="AS8" i="1"/>
  <c r="AS6" i="1"/>
  <c r="AS7" i="1"/>
  <c r="AS5" i="1"/>
  <c r="AT8" i="1"/>
  <c r="AT6" i="1"/>
  <c r="AT7" i="1"/>
  <c r="AT5" i="1"/>
  <c r="H1" i="12"/>
  <c r="D4" i="12"/>
  <c r="D5" i="12"/>
  <c r="D6"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E203" i="12" s="1"/>
  <c r="E204" i="12" s="1"/>
  <c r="E205" i="12" s="1"/>
  <c r="E206" i="12" s="1"/>
  <c r="E207" i="12" s="1"/>
  <c r="E208" i="12" s="1"/>
  <c r="E209" i="12" s="1"/>
  <c r="E210" i="12" s="1"/>
  <c r="E211" i="12" s="1"/>
  <c r="E212" i="12" s="1"/>
  <c r="E213" i="12" s="1"/>
  <c r="E214" i="12" s="1"/>
  <c r="E215" i="12" s="1"/>
  <c r="E216" i="12" s="1"/>
  <c r="E217" i="12" s="1"/>
  <c r="E218" i="12" s="1"/>
  <c r="E219" i="12" s="1"/>
  <c r="E220" i="12" s="1"/>
  <c r="E221" i="12" s="1"/>
  <c r="E222" i="12" s="1"/>
  <c r="E223" i="12" s="1"/>
  <c r="E224" i="12" s="1"/>
  <c r="E225" i="12" s="1"/>
  <c r="E226" i="12" s="1"/>
  <c r="E227" i="12" s="1"/>
  <c r="E228" i="12" s="1"/>
  <c r="E229" i="12" s="1"/>
  <c r="E230" i="12" s="1"/>
  <c r="E231" i="12" s="1"/>
  <c r="E232" i="12" s="1"/>
  <c r="E233" i="12" s="1"/>
  <c r="E234" i="12" s="1"/>
  <c r="E235" i="12" s="1"/>
  <c r="E236" i="12" s="1"/>
  <c r="E237" i="12" s="1"/>
  <c r="E238" i="12" s="1"/>
  <c r="E239" i="12" s="1"/>
  <c r="E240" i="12" s="1"/>
  <c r="E241" i="12" s="1"/>
  <c r="E242" i="12" s="1"/>
  <c r="E243" i="12" s="1"/>
  <c r="E244" i="12" s="1"/>
  <c r="E245" i="12" s="1"/>
  <c r="E246" i="12" s="1"/>
  <c r="E247" i="12" s="1"/>
  <c r="E248" i="12" s="1"/>
  <c r="E249" i="12" s="1"/>
  <c r="E250" i="12" s="1"/>
  <c r="E251" i="12" s="1"/>
  <c r="E252" i="12" s="1"/>
  <c r="E253" i="12" s="1"/>
  <c r="E254" i="12" s="1"/>
  <c r="E255" i="12" s="1"/>
  <c r="E256" i="12" s="1"/>
  <c r="E257" i="12" s="1"/>
  <c r="E258" i="12" s="1"/>
  <c r="E259" i="12" s="1"/>
  <c r="E260" i="12" s="1"/>
  <c r="E261" i="12" s="1"/>
  <c r="E262" i="12" s="1"/>
  <c r="E263" i="12" s="1"/>
  <c r="E264" i="12" s="1"/>
  <c r="E265" i="12" s="1"/>
  <c r="E266" i="12" s="1"/>
  <c r="E267" i="12" s="1"/>
  <c r="E268" i="12" s="1"/>
  <c r="E269" i="12" s="1"/>
  <c r="E270" i="12" s="1"/>
  <c r="E271" i="12" s="1"/>
  <c r="E272" i="12" s="1"/>
  <c r="E273" i="12" s="1"/>
  <c r="E274" i="12" s="1"/>
  <c r="E275" i="12" s="1"/>
  <c r="E276" i="12" s="1"/>
  <c r="E277" i="12" s="1"/>
  <c r="E278" i="12" s="1"/>
  <c r="E279" i="12" s="1"/>
  <c r="E280" i="12" s="1"/>
  <c r="E281" i="12" s="1"/>
  <c r="E282" i="12" s="1"/>
  <c r="E283" i="12" s="1"/>
  <c r="E284" i="12" s="1"/>
  <c r="E285" i="12" s="1"/>
  <c r="E286" i="12" s="1"/>
  <c r="E287" i="12" s="1"/>
  <c r="E288" i="12" s="1"/>
  <c r="E289" i="12" s="1"/>
  <c r="E290" i="12" s="1"/>
  <c r="E291" i="12" s="1"/>
  <c r="E292" i="12" s="1"/>
  <c r="E293" i="12" s="1"/>
  <c r="E294" i="12" s="1"/>
  <c r="E295" i="12" s="1"/>
  <c r="E296" i="12" s="1"/>
  <c r="E297" i="12" s="1"/>
  <c r="E298" i="12" s="1"/>
  <c r="E299" i="12" s="1"/>
  <c r="E300" i="12" s="1"/>
  <c r="E301" i="12" s="1"/>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 i="12"/>
  <c r="E3" i="12" s="1"/>
  <c r="E4" i="12" s="1"/>
  <c r="E5" i="12" s="1"/>
  <c r="E6" i="12" s="1"/>
  <c r="E7" i="12" s="1"/>
  <c r="E8" i="12" s="1"/>
  <c r="E9" i="12" s="1"/>
  <c r="E10" i="12" s="1"/>
  <c r="E103" i="12"/>
  <c r="E104" i="12" s="1"/>
  <c r="E105" i="12" s="1"/>
  <c r="E106" i="12" s="1"/>
  <c r="H2" i="1"/>
  <c r="U26" i="16" l="1"/>
  <c r="U19" i="16"/>
  <c r="AQ20" i="16"/>
  <c r="Z18" i="16"/>
  <c r="AQ22" i="16"/>
  <c r="O8" i="1"/>
  <c r="N8" i="1"/>
  <c r="O6" i="1"/>
  <c r="N6" i="1"/>
  <c r="O7" i="1"/>
  <c r="N7" i="1"/>
  <c r="O5" i="1"/>
  <c r="N5" i="1"/>
  <c r="P5" i="1" s="1"/>
  <c r="P8" i="1"/>
  <c r="P6" i="1"/>
  <c r="P7" i="1"/>
  <c r="E107" i="12"/>
  <c r="E108" i="12" s="1"/>
  <c r="E109" i="12" s="1"/>
  <c r="E110" i="12" s="1"/>
  <c r="E111" i="12" s="1"/>
  <c r="E112" i="12" s="1"/>
  <c r="E113" i="12" s="1"/>
  <c r="E114" i="12" s="1"/>
  <c r="E115" i="12" s="1"/>
  <c r="E116" i="12" s="1"/>
  <c r="E117" i="12" s="1"/>
  <c r="E118" i="12" s="1"/>
  <c r="E119" i="12" s="1"/>
  <c r="E120" i="12" s="1"/>
  <c r="E121" i="12" s="1"/>
  <c r="E122" i="12" s="1"/>
  <c r="E123" i="12" s="1"/>
  <c r="E124" i="12" s="1"/>
  <c r="E125" i="12" s="1"/>
  <c r="E126" i="12" s="1"/>
  <c r="E127" i="12" s="1"/>
  <c r="E128" i="12" s="1"/>
  <c r="E129" i="12" s="1"/>
  <c r="E130" i="12" s="1"/>
  <c r="E131" i="12" s="1"/>
  <c r="E132" i="12" s="1"/>
  <c r="E133" i="12" s="1"/>
  <c r="E134" i="12" s="1"/>
  <c r="E135" i="12" s="1"/>
  <c r="E136" i="12" s="1"/>
  <c r="E137" i="12" s="1"/>
  <c r="E138" i="12" s="1"/>
  <c r="E139" i="12" s="1"/>
  <c r="E140" i="12" s="1"/>
  <c r="E141" i="12" s="1"/>
  <c r="E142" i="12" s="1"/>
  <c r="E143" i="12" s="1"/>
  <c r="E144" i="12" s="1"/>
  <c r="E145" i="12" s="1"/>
  <c r="E146" i="12" s="1"/>
  <c r="E147" i="12" s="1"/>
  <c r="E148" i="12" s="1"/>
  <c r="E149" i="12" s="1"/>
  <c r="E150" i="12" s="1"/>
  <c r="E151" i="12" s="1"/>
  <c r="E152" i="12" s="1"/>
  <c r="E153" i="12" s="1"/>
  <c r="E154" i="12" s="1"/>
  <c r="E155" i="12" s="1"/>
  <c r="E156" i="12" s="1"/>
  <c r="E157" i="12" s="1"/>
  <c r="E158" i="12" s="1"/>
  <c r="E159" i="12" s="1"/>
  <c r="E160" i="12" s="1"/>
  <c r="E161" i="12" s="1"/>
  <c r="E162" i="12" s="1"/>
  <c r="E163" i="12" s="1"/>
  <c r="E164" i="12" s="1"/>
  <c r="E165" i="12" s="1"/>
  <c r="E166" i="12" s="1"/>
  <c r="E167" i="12" s="1"/>
  <c r="E168" i="12" s="1"/>
  <c r="E169" i="12" s="1"/>
  <c r="E170" i="12" s="1"/>
  <c r="E171" i="12" s="1"/>
  <c r="E172" i="12" s="1"/>
  <c r="E173" i="12" s="1"/>
  <c r="E174" i="12" s="1"/>
  <c r="E175" i="12" s="1"/>
  <c r="E176" i="12" s="1"/>
  <c r="E177" i="12" s="1"/>
  <c r="E178" i="12" s="1"/>
  <c r="E179" i="12" s="1"/>
  <c r="E180" i="12" s="1"/>
  <c r="E181" i="12" s="1"/>
  <c r="E182" i="12" s="1"/>
  <c r="E183" i="12" s="1"/>
  <c r="E184" i="12" s="1"/>
  <c r="E185" i="12" s="1"/>
  <c r="E186" i="12" s="1"/>
  <c r="E187" i="12" s="1"/>
  <c r="E188" i="12" s="1"/>
  <c r="E189" i="12" s="1"/>
  <c r="E190" i="12" s="1"/>
  <c r="E191" i="12" s="1"/>
  <c r="E192" i="12" s="1"/>
  <c r="E193" i="12" s="1"/>
  <c r="E194" i="12" s="1"/>
  <c r="E195" i="12" s="1"/>
  <c r="E196" i="12" s="1"/>
  <c r="E197" i="12" s="1"/>
  <c r="E198" i="12" s="1"/>
  <c r="E199" i="12" s="1"/>
  <c r="E200" i="12" s="1"/>
  <c r="E201" i="12" s="1"/>
  <c r="E11" i="12"/>
  <c r="E12" i="12" s="1"/>
  <c r="E13" i="12" s="1"/>
  <c r="E14" i="12" s="1"/>
  <c r="E15" i="12" s="1"/>
  <c r="E16" i="12" s="1"/>
  <c r="E17" i="12" s="1"/>
  <c r="E18" i="12" s="1"/>
  <c r="E19" i="12" s="1"/>
  <c r="E20" i="12" s="1"/>
  <c r="E21" i="12" s="1"/>
  <c r="E22" i="12" s="1"/>
  <c r="E23" i="12" s="1"/>
  <c r="E24" i="12" s="1"/>
  <c r="E25" i="12" s="1"/>
  <c r="E26" i="12" s="1"/>
  <c r="E27" i="12" s="1"/>
  <c r="E28" i="12" s="1"/>
  <c r="E29" i="12" s="1"/>
  <c r="E30" i="12" s="1"/>
  <c r="E31" i="12" s="1"/>
  <c r="E32" i="12" s="1"/>
  <c r="E33" i="12" s="1"/>
  <c r="E34" i="12" s="1"/>
  <c r="E35" i="12" s="1"/>
  <c r="E36" i="12" s="1"/>
  <c r="E37" i="12" s="1"/>
  <c r="E38" i="12" s="1"/>
  <c r="E39" i="12" s="1"/>
  <c r="E40" i="12" s="1"/>
  <c r="E41" i="12" s="1"/>
  <c r="E42" i="12" s="1"/>
  <c r="E43" i="12" s="1"/>
  <c r="E44" i="12" s="1"/>
  <c r="E45" i="12" s="1"/>
  <c r="E46" i="12" s="1"/>
  <c r="E47" i="12" s="1"/>
  <c r="E48" i="12" s="1"/>
  <c r="E49" i="12" s="1"/>
  <c r="E50" i="12" s="1"/>
  <c r="E51" i="12" s="1"/>
  <c r="E52" i="12" s="1"/>
  <c r="E53" i="12" s="1"/>
  <c r="E54" i="12" s="1"/>
  <c r="E55" i="12" s="1"/>
  <c r="E56" i="12" s="1"/>
  <c r="E57" i="12" s="1"/>
  <c r="E58" i="12" s="1"/>
  <c r="E59" i="12" s="1"/>
  <c r="E60" i="12" s="1"/>
  <c r="E61" i="12" s="1"/>
  <c r="E62" i="12" s="1"/>
  <c r="E63" i="12" s="1"/>
  <c r="E64" i="12" s="1"/>
  <c r="E65" i="12" s="1"/>
  <c r="E66" i="12" s="1"/>
  <c r="E67" i="12" s="1"/>
  <c r="E68" i="12" s="1"/>
  <c r="E69" i="12" s="1"/>
  <c r="E70" i="12" s="1"/>
  <c r="E71" i="12" s="1"/>
  <c r="E72" i="12" s="1"/>
  <c r="E73" i="12" s="1"/>
  <c r="E74" i="12" s="1"/>
  <c r="E75" i="12" s="1"/>
  <c r="E76" i="12" s="1"/>
  <c r="E77" i="12" s="1"/>
  <c r="E78" i="12" s="1"/>
  <c r="E79" i="12" s="1"/>
  <c r="E80" i="12" s="1"/>
  <c r="E81" i="12" s="1"/>
  <c r="E82" i="12" s="1"/>
  <c r="E83" i="12" s="1"/>
  <c r="E84" i="12" s="1"/>
  <c r="E85" i="12" s="1"/>
  <c r="E86" i="12" s="1"/>
  <c r="E87" i="12" s="1"/>
  <c r="E88" i="12" s="1"/>
  <c r="E89" i="12" s="1"/>
  <c r="E90" i="12" s="1"/>
  <c r="E91" i="12" s="1"/>
  <c r="E92" i="12" s="1"/>
  <c r="E93" i="12" s="1"/>
  <c r="E94" i="12" s="1"/>
  <c r="E95" i="12" s="1"/>
  <c r="E96" i="12" s="1"/>
  <c r="E97" i="12" s="1"/>
  <c r="E98" i="12" s="1"/>
  <c r="E99" i="12" s="1"/>
  <c r="E100" i="12" s="1"/>
  <c r="E101" i="12" s="1"/>
  <c r="A5" i="18" l="1"/>
  <c r="R6" i="1"/>
  <c r="R7" i="1"/>
  <c r="R8" i="1"/>
  <c r="R5" i="1"/>
  <c r="U24" i="16"/>
  <c r="U28" i="16" l="1"/>
  <c r="U22" i="16" l="1"/>
  <c r="A8" i="18" l="1"/>
  <c r="A11" i="18" s="1"/>
  <c r="AQ29" i="1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<sst xmlns="http://schemas.openxmlformats.org/spreadsheetml/2006/main" count="7805" uniqueCount="2507">
  <si>
    <t>Tarih</t>
  </si>
  <si>
    <t>2023</t>
  </si>
  <si>
    <t>Sicil No</t>
  </si>
  <si>
    <t>Adı Soyadı</t>
  </si>
  <si>
    <t>İşe Giriş Tarihi</t>
  </si>
  <si>
    <t>Doğum Tarihi</t>
  </si>
  <si>
    <t>Kıdem</t>
  </si>
  <si>
    <t>Yaş</t>
  </si>
  <si>
    <t>Toplam Hakediş</t>
  </si>
  <si>
    <t>Kullanılan İzin</t>
  </si>
  <si>
    <t>Kalan İzin</t>
  </si>
  <si>
    <t>İzin Başlama Tarihi</t>
  </si>
  <si>
    <t>İzin Bitiş Tarihi</t>
  </si>
  <si>
    <t>Toplam İzin Günü</t>
  </si>
  <si>
    <t>Tatil Tanımı</t>
  </si>
  <si>
    <t>Yılbaşı</t>
  </si>
  <si>
    <t>Ulusal Egemenlik ve Çocuk Bayramı</t>
  </si>
  <si>
    <t>Emek ve Dayanışma Günü</t>
  </si>
  <si>
    <t>Atatürk'ü Anma, Gençlik ve Spor Bayramı</t>
  </si>
  <si>
    <t>Demokrasi ve Milli Birlik Günü</t>
  </si>
  <si>
    <t>Zafer Bayramı</t>
  </si>
  <si>
    <t>Cumhuriyet Bayramı</t>
  </si>
  <si>
    <t>Hafta Tatili</t>
  </si>
  <si>
    <t>Cumartesi ve Pazar</t>
  </si>
  <si>
    <t>Yıllara Göre İzin Hakediş Ayarı</t>
  </si>
  <si>
    <t>Yaş Aralığı</t>
  </si>
  <si>
    <t>Kıdem Aralığı</t>
  </si>
  <si>
    <t>İzin Hakediş</t>
  </si>
  <si>
    <t>0-17</t>
  </si>
  <si>
    <t>1-5</t>
  </si>
  <si>
    <t>6-14</t>
  </si>
  <si>
    <t>15-99</t>
  </si>
  <si>
    <t>18-49</t>
  </si>
  <si>
    <t>50-99</t>
  </si>
  <si>
    <t>Not</t>
  </si>
  <si>
    <r>
      <t xml:space="preserve">4857 sayılı İş Kanunu'na göre, </t>
    </r>
    <r>
      <rPr>
        <b/>
        <sz val="11"/>
        <color theme="1"/>
        <rFont val="Calibri"/>
        <family val="2"/>
        <charset val="162"/>
        <scheme val="minor"/>
      </rPr>
      <t>18 yaşından küçük ve 50 yaşından büyük işçiler için yıllık izin süresi farklıdır</t>
    </r>
    <r>
      <rPr>
        <sz val="11"/>
        <color theme="1"/>
        <rFont val="Calibri"/>
        <family val="2"/>
        <charset val="162"/>
        <scheme val="minor"/>
      </rPr>
      <t xml:space="preserve">. Bu yaş grubundaki çalışanlar, daha fazla yıllık izin hakkına sahiptir. 
</t>
    </r>
    <r>
      <rPr>
        <b/>
        <sz val="11"/>
        <color theme="1"/>
        <rFont val="Calibri"/>
        <family val="2"/>
        <charset val="162"/>
        <scheme val="minor"/>
      </rPr>
      <t>18 yaşından küçük ve 50 yaşından büyük çalışanlar için minimum yıllık izin süresi 20 gündür</t>
    </r>
    <r>
      <rPr>
        <sz val="11"/>
        <color theme="1"/>
        <rFont val="Calibri"/>
        <family val="2"/>
        <charset val="162"/>
        <scheme val="minor"/>
      </rPr>
      <t>, bu süre çalışma yılına bakılmaksızın verilir.
Diğer yaş gruplarındaki çalışanlar için, kıdemlerine bağlı olarak 14, 20 veya 26 gün yıllık izin hakkı tanınır.</t>
    </r>
  </si>
  <si>
    <t>Kıdem Aralık</t>
  </si>
  <si>
    <t>Hakediş</t>
  </si>
  <si>
    <t>Kümüle Hakediş</t>
  </si>
  <si>
    <t>Hafta Tatili Seçimi</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</si>
  <si>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</si>
  <si>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</si>
  <si>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</si>
  <si>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</si>
  <si>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</si>
  <si>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</si>
  <si>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</si>
  <si>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</si>
  <si>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</si>
  <si>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</si>
  <si>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</si>
  <si>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</si>
  <si>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</si>
  <si>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</si>
  <si>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</si>
  <si>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</si>
  <si>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</si>
  <si>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</si>
  <si>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</si>
  <si>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</si>
  <si>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</si>
  <si>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</si>
  <si>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</si>
  <si>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</si>
  <si>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</si>
  <si>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</si>
  <si>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</si>
  <si>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</si>
  <si>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</si>
  <si>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</si>
  <si>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</si>
  <si>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</si>
  <si>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</si>
  <si>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</si>
  <si>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</si>
  <si>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</si>
  <si>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</si>
  <si>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</si>
  <si>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</si>
  <si>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</si>
  <si>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</si>
  <si>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</si>
  <si>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</si>
  <si>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</si>
  <si>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</si>
  <si>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</si>
  <si>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</si>
  <si>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</si>
  <si>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</si>
  <si>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</si>
  <si>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</si>
  <si>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</si>
  <si>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</si>
  <si>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</si>
  <si>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</si>
  <si>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</si>
  <si>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</si>
  <si>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</si>
  <si>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</si>
  <si>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</si>
  <si>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</si>
  <si>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</si>
  <si>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</si>
  <si>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</si>
  <si>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</si>
  <si>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</si>
  <si>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</si>
  <si>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</si>
  <si>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</si>
  <si>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</si>
  <si>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</si>
  <si>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</si>
  <si>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</si>
  <si>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</si>
  <si>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</si>
  <si>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</si>
  <si>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</si>
  <si>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</si>
  <si>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</si>
  <si>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</si>
  <si>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</si>
  <si>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</si>
  <si>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</si>
  <si>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</si>
  <si>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</si>
  <si>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</si>
  <si>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</si>
  <si>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</si>
  <si>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</si>
  <si>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</si>
  <si>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</si>
  <si>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</si>
  <si>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</si>
  <si>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</si>
  <si>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</si>
  <si>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</si>
  <si>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</si>
  <si>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</si>
  <si>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</si>
  <si>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</si>
  <si>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</si>
  <si>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</si>
  <si>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</si>
  <si>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</si>
  <si>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</si>
  <si>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</si>
  <si>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</si>
  <si>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</si>
  <si>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</si>
  <si>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</si>
  <si>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</si>
  <si>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</si>
  <si>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</si>
  <si>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</si>
  <si>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</si>
  <si>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</si>
  <si>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</si>
  <si>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</si>
  <si>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</si>
  <si>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</si>
  <si>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</si>
  <si>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</si>
  <si>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</si>
  <si>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</si>
  <si>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</si>
  <si>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</si>
  <si>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</si>
  <si>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</si>
  <si>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</si>
  <si>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</si>
  <si>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</si>
  <si>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</si>
  <si>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</si>
  <si>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</si>
  <si>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</si>
  <si>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</si>
  <si>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</si>
  <si>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</si>
  <si>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</si>
  <si>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</si>
  <si>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</si>
  <si>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</si>
  <si>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</si>
  <si>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</si>
  <si>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</si>
  <si>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</si>
  <si>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</si>
  <si>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</si>
  <si>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</si>
  <si>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</si>
  <si>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</si>
  <si>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</si>
  <si>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</si>
  <si>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</si>
  <si>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</si>
  <si>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YILLIK İZİN TAKİP PROGRAMI</t>
  </si>
  <si>
    <t>Personel İsmi</t>
  </si>
  <si>
    <t>DİKİMHANE</t>
  </si>
  <si>
    <t>KESİMHANE</t>
  </si>
  <si>
    <t>ÜTÜ PAKET</t>
  </si>
  <si>
    <t>REVİR</t>
  </si>
  <si>
    <t>KUMAŞ DEPO</t>
  </si>
  <si>
    <t>SOSYAL UYGUNLUK</t>
  </si>
  <si>
    <t>GÜVENLİK</t>
  </si>
  <si>
    <t>NUMUNE ÜTÜ PAKET</t>
  </si>
  <si>
    <t>FASON TAKİP</t>
  </si>
  <si>
    <t>SATIN ALMA</t>
  </si>
  <si>
    <t>MODEL DİKİM</t>
  </si>
  <si>
    <t>PLANLAMA</t>
  </si>
  <si>
    <t>AKSESUAR DEPO</t>
  </si>
  <si>
    <t>MODELHANE</t>
  </si>
  <si>
    <t>İHRACAT</t>
  </si>
  <si>
    <t>MÜŞTERİ TEMSİLCİSİ</t>
  </si>
  <si>
    <t>NUMUNE</t>
  </si>
  <si>
    <t>İNSAN KAYNAKLARI</t>
  </si>
  <si>
    <t>DENETİM</t>
  </si>
  <si>
    <t>FASON TAKİP DOKUMA</t>
  </si>
  <si>
    <t>MUHASEBE</t>
  </si>
  <si>
    <t>BAKIMHANE</t>
  </si>
  <si>
    <t>ÜRÜN SORUMLUSU</t>
  </si>
  <si>
    <t>GENEL MÜDÜR</t>
  </si>
  <si>
    <t>FİNANS</t>
  </si>
  <si>
    <t>TEMİZLİK</t>
  </si>
  <si>
    <t>MODEL DİKİM DOKUMA</t>
  </si>
  <si>
    <t>ŞOFÖR</t>
  </si>
  <si>
    <t>ÇAYCI</t>
  </si>
  <si>
    <t>BİLGİ İŞLEM</t>
  </si>
  <si>
    <t>Merkez</t>
  </si>
  <si>
    <t>DOKUMA</t>
  </si>
  <si>
    <t>ABDULLAH ALBAYRAK</t>
  </si>
  <si>
    <t>ABDULSAMET DAĞLI</t>
  </si>
  <si>
    <t>AHMET ALİ CESUR</t>
  </si>
  <si>
    <t>ABBAS TORUN</t>
  </si>
  <si>
    <t>ALEYNA TUNÇ</t>
  </si>
  <si>
    <t>AHMET KURTULUŞ</t>
  </si>
  <si>
    <t>LEVENT CANSIZ</t>
  </si>
  <si>
    <t>BAĞNU YAZICI</t>
  </si>
  <si>
    <t>2.KALİTE DEPO</t>
  </si>
  <si>
    <t>FASON BASKI NAKIŞ</t>
  </si>
  <si>
    <t>İDARİ</t>
  </si>
  <si>
    <t>İDARİ KADRO</t>
  </si>
  <si>
    <t>YIKAMA</t>
  </si>
  <si>
    <t>İzin Hak Ediş Tarihi</t>
  </si>
  <si>
    <t>Fasılalı Çalışması varmı?</t>
  </si>
  <si>
    <t>Fasılalı Çalışma Yılı</t>
  </si>
  <si>
    <t>Fasıla Yılı</t>
  </si>
  <si>
    <t>İZİN BAŞLANGIÇ</t>
  </si>
  <si>
    <t>İZİN BİTİŞ</t>
  </si>
  <si>
    <t>arefe</t>
  </si>
  <si>
    <t>Ramazan Bayramı 1. Gün</t>
  </si>
  <si>
    <t>Ramazan Bayramı 2. Gün</t>
  </si>
  <si>
    <t>Ramazan Bayramı 3. Gün</t>
  </si>
  <si>
    <t>Kurban Bayramı 1. Gün</t>
  </si>
  <si>
    <t>Kurban Bayramı 2. Gün</t>
  </si>
  <si>
    <t>Kurban Bayramı 3. Gün</t>
  </si>
  <si>
    <t>Kurban Bayramı 4. Gün</t>
  </si>
  <si>
    <t>Sütun1</t>
  </si>
  <si>
    <t>YILLIK ÜCRETLİ İZİN TALEP VE ONAY FORMU</t>
  </si>
  <si>
    <t>DOKÜMAN NO</t>
  </si>
  <si>
    <t>İK.FR.07</t>
  </si>
  <si>
    <t>DÜZENLEME TARİHİ</t>
  </si>
  <si>
    <t>REVİZYON NO</t>
  </si>
  <si>
    <t>REVİZYON TARİHİ</t>
  </si>
  <si>
    <t>SAYFA NO</t>
  </si>
  <si>
    <t>** Bu Bölüm İnsan Kaynakları Tarafından Doldurulacaktır.</t>
  </si>
  <si>
    <t>** Bu Bölüm Personel Tarafından Doldurulacaktır.</t>
  </si>
  <si>
    <t>İnsan Kaynakları Birimi'ne</t>
  </si>
  <si>
    <t>Derpartman / Birim</t>
  </si>
  <si>
    <t>Yıllık Ücretli İzin kullanma dönemim olan 
.... / .... / 20.... ile ... / .... / 20...  tarihleri arasında kullanmam gereken izin hakkımı "Yıllık Ücretli İzin Talep Formu" nda beyan ettiğim günlerde kullanmak istiyorum.  
Gereğini Arz Ederim.
Saygılarımla</t>
  </si>
  <si>
    <t>Sicil Numarası</t>
  </si>
  <si>
    <t>Yıllık İzni Hak Ettiği Tarih</t>
  </si>
  <si>
    <t>İzin Başlangıç Tarihi</t>
  </si>
  <si>
    <t>İzin Gün Sayısı</t>
  </si>
  <si>
    <t>İrtibat Telefon No</t>
  </si>
  <si>
    <t>İzinde Bulunacağı Adres</t>
  </si>
  <si>
    <t>DÜŞÜNCE VE ONAY</t>
  </si>
  <si>
    <t>ONAY</t>
  </si>
  <si>
    <t>BÖLÜM YÖN. / DEPARTMAN YÖN.</t>
  </si>
  <si>
    <t>GENEL MÜ. / YÖNETİM KURULU</t>
  </si>
  <si>
    <t>….. / ….. 20..</t>
  </si>
  <si>
    <t>İş Başı Tarihi :</t>
  </si>
  <si>
    <t>MUVAFAKATNAME</t>
  </si>
  <si>
    <t>ADI SOYADI :</t>
  </si>
  <si>
    <t>İMZA             :</t>
  </si>
  <si>
    <t>SİCİL</t>
  </si>
  <si>
    <t>Birim</t>
  </si>
  <si>
    <t>İZİN TALEP FORMU</t>
  </si>
  <si>
    <t>DEPARTMAN</t>
  </si>
  <si>
    <t>KAN GRUBU</t>
  </si>
  <si>
    <t>KURUM</t>
  </si>
  <si>
    <t>İŞYERİ</t>
  </si>
  <si>
    <t>BÖLÜM</t>
  </si>
  <si>
    <t>BİRİM</t>
  </si>
  <si>
    <t>SİCİL NO</t>
  </si>
  <si>
    <t>TC KIMLIK NO</t>
  </si>
  <si>
    <t>ADI</t>
  </si>
  <si>
    <t>SOYADI</t>
  </si>
  <si>
    <t>GRUBA GİRİŞ TARİHİ</t>
  </si>
  <si>
    <t>İŞ.GİR.TARİHİ</t>
  </si>
  <si>
    <t>DOĞUM TARİHİ</t>
  </si>
  <si>
    <t>CİNSİYETİ</t>
  </si>
  <si>
    <t>DEPARTMANI</t>
  </si>
  <si>
    <t>MAAŞI</t>
  </si>
  <si>
    <t>DOĞUM YERİ</t>
  </si>
  <si>
    <t>BABA ADI</t>
  </si>
  <si>
    <t>ADRES</t>
  </si>
  <si>
    <t>MESLEK KODU</t>
  </si>
  <si>
    <t>MESLEK ADI</t>
  </si>
  <si>
    <t>GÖREVİ</t>
  </si>
  <si>
    <t>ÖĞRENİM DURUMU</t>
  </si>
  <si>
    <t>CEP TELEFONU</t>
  </si>
  <si>
    <t>STATÜ</t>
  </si>
  <si>
    <t>İŞTEN AYRILIŞ</t>
  </si>
  <si>
    <t>İŞTEN AYRILIŞ KODU</t>
  </si>
  <si>
    <t>0 RH +</t>
  </si>
  <si>
    <t>MERKOTEKS TEKSTİL SAN. VE TİC. A.Ş.</t>
  </si>
  <si>
    <t>7599</t>
  </si>
  <si>
    <t>ALİ</t>
  </si>
  <si>
    <t>YILDIZ</t>
  </si>
  <si>
    <t>Erkek</t>
  </si>
  <si>
    <t>ÜNYE</t>
  </si>
  <si>
    <t>MUSTAFA</t>
  </si>
  <si>
    <t>KOCASİNAN MERKEZ MAH. HARPUT SK. BERK APT. NO:6/1 BAHÇELİEVL</t>
  </si>
  <si>
    <t>8153.11</t>
  </si>
  <si>
    <t>Makineci (Dikiş)</t>
  </si>
  <si>
    <t>MAKİNECİ</t>
  </si>
  <si>
    <t>Lise veya dengi okul</t>
  </si>
  <si>
    <t>5383197851</t>
  </si>
  <si>
    <t>4/a Normal</t>
  </si>
  <si>
    <t>Belirtilmemiş</t>
  </si>
  <si>
    <t>7358</t>
  </si>
  <si>
    <t>ATAKAN</t>
  </si>
  <si>
    <t>YAMANLAR</t>
  </si>
  <si>
    <t>BAFRA</t>
  </si>
  <si>
    <t>NECABETTİN</t>
  </si>
  <si>
    <t>MAHMUTBEY MAH 2633 SOK GÜL APT NO 27 D 5 BAĞCILAR İSTANBUL</t>
  </si>
  <si>
    <t>5438260491</t>
  </si>
  <si>
    <t>A RH +</t>
  </si>
  <si>
    <t>3471</t>
  </si>
  <si>
    <t>AYŞE</t>
  </si>
  <si>
    <t>DEMİRSOY</t>
  </si>
  <si>
    <t>Kadın</t>
  </si>
  <si>
    <t>GERZE</t>
  </si>
  <si>
    <t>RIZA</t>
  </si>
  <si>
    <t>İKİTELLİ ULUBATLI HASAN CD NO10 D 8 KÜÇÜKÇEKMECE İST</t>
  </si>
  <si>
    <t>7318.32</t>
  </si>
  <si>
    <t>İplik Temizleme İşçisi</t>
  </si>
  <si>
    <t>ORTACI-AYAKÇI</t>
  </si>
  <si>
    <t>5398965504</t>
  </si>
  <si>
    <t>7590</t>
  </si>
  <si>
    <t>BAYRAM</t>
  </si>
  <si>
    <t>ÖZİNAL</t>
  </si>
  <si>
    <t>PÜTÜRGE</t>
  </si>
  <si>
    <t>HASAN</t>
  </si>
  <si>
    <t>MEHMET AKŞF MAH. EMRE SK. NO:51/7 K.ÇEKMECE / İSTANBUL</t>
  </si>
  <si>
    <t>İlkokul</t>
  </si>
  <si>
    <t>5366712566</t>
  </si>
  <si>
    <t>7651</t>
  </si>
  <si>
    <t>BİLAL</t>
  </si>
  <si>
    <t>GEGÜÇ</t>
  </si>
  <si>
    <t>NİZAMETTİN</t>
  </si>
  <si>
    <t>GÜNEŞLİ MAH. 1355. SK. NO: 16/1 BAĞCILAR/İST.</t>
  </si>
  <si>
    <t>MAKİNECİ KOLLUCU</t>
  </si>
  <si>
    <t>05332342415</t>
  </si>
  <si>
    <t>B RH +</t>
  </si>
  <si>
    <t>2090</t>
  </si>
  <si>
    <t>BÜLENT</t>
  </si>
  <si>
    <t>ÇALIŞ</t>
  </si>
  <si>
    <t>KAHTA</t>
  </si>
  <si>
    <t>KAZIM KARABEKİR MH 283 SK NO23 D19 BAĞCILAR İST</t>
  </si>
  <si>
    <t>Ortaokul yada İ.Ö.O</t>
  </si>
  <si>
    <t>5356820649</t>
  </si>
  <si>
    <t>CEMAL</t>
  </si>
  <si>
    <t>NİĞDE</t>
  </si>
  <si>
    <t>HİKMET</t>
  </si>
  <si>
    <t>4/a Emekli</t>
  </si>
  <si>
    <t>7592</t>
  </si>
  <si>
    <t>ÇİÇEK</t>
  </si>
  <si>
    <t>KIDAT</t>
  </si>
  <si>
    <t>ADANA</t>
  </si>
  <si>
    <t>İBRAHİM</t>
  </si>
  <si>
    <t>FATİH MAH. 1857. SK. NO: 26/3 BAĞCILAR/İST</t>
  </si>
  <si>
    <t>05388911345</t>
  </si>
  <si>
    <t>ÇİĞDEM</t>
  </si>
  <si>
    <t>MASAL</t>
  </si>
  <si>
    <t>GÖKCEBEL</t>
  </si>
  <si>
    <t>BOYRAZ</t>
  </si>
  <si>
    <t>8153.09</t>
  </si>
  <si>
    <t>Overlok Makinesi Operatörü (Overlokçu)</t>
  </si>
  <si>
    <t>OVERLOKÇU</t>
  </si>
  <si>
    <t>5387492195</t>
  </si>
  <si>
    <t>7659</t>
  </si>
  <si>
    <t>DÖNDÜ</t>
  </si>
  <si>
    <t>AYGÜN</t>
  </si>
  <si>
    <t>SUŞEHRİ</t>
  </si>
  <si>
    <t>GÜVERCİNTEPE MAH. GÜL SOK. NO:24 / 1 BAŞAKŞEHİR / İSTANBUL</t>
  </si>
  <si>
    <t>7543.17</t>
  </si>
  <si>
    <t>Kalite Kontrolcü-Tekstil</t>
  </si>
  <si>
    <t>KALİTE KONTROLCÜ</t>
  </si>
  <si>
    <t>5433845834</t>
  </si>
  <si>
    <t>1545</t>
  </si>
  <si>
    <t>ENGİN</t>
  </si>
  <si>
    <t>TEZCAN</t>
  </si>
  <si>
    <t>UZSUNKÖPRÜ</t>
  </si>
  <si>
    <t>HALİL</t>
  </si>
  <si>
    <t>HÜDHÜD MH NO46 D6 KÜÇÜKÇEKMECE KANARYA</t>
  </si>
  <si>
    <t>9329.46</t>
  </si>
  <si>
    <t>Ortacı - Ayakçı ( Tekstil )</t>
  </si>
  <si>
    <t>5469744623</t>
  </si>
  <si>
    <t>6557</t>
  </si>
  <si>
    <t>ERCAN</t>
  </si>
  <si>
    <t>ZAFER</t>
  </si>
  <si>
    <t>GOLBASI</t>
  </si>
  <si>
    <t>İNÖNÜ MAH. 361. SK. NO:37/5 BAĞCILAR/İSTANBUL</t>
  </si>
  <si>
    <t>PUNTERİZ MAKİNECİSİ</t>
  </si>
  <si>
    <t>5379245498</t>
  </si>
  <si>
    <t>3689</t>
  </si>
  <si>
    <t>FATİME</t>
  </si>
  <si>
    <t>DEMİROK</t>
  </si>
  <si>
    <t>DEVREK</t>
  </si>
  <si>
    <t>FEYZİ</t>
  </si>
  <si>
    <t>HALKALI KARAKOL SK NO D4 KÜÇÜKÇEKMECE</t>
  </si>
  <si>
    <t>İPLİK TEMİZLEME İŞÇİSİ</t>
  </si>
  <si>
    <t>05367316244</t>
  </si>
  <si>
    <t>7591</t>
  </si>
  <si>
    <t>FATMA</t>
  </si>
  <si>
    <t>BAŞ</t>
  </si>
  <si>
    <t>ALAÇAM</t>
  </si>
  <si>
    <t>SEFER</t>
  </si>
  <si>
    <t>FEVZİ ÇAKMAK MH 1136 SK NO59 D3 ESENLER / İST</t>
  </si>
  <si>
    <t>ORTACI</t>
  </si>
  <si>
    <t>5077567054</t>
  </si>
  <si>
    <t>7630</t>
  </si>
  <si>
    <t>DURĞUT</t>
  </si>
  <si>
    <t>GERGER</t>
  </si>
  <si>
    <t>GÜNEŞLİ MAH. 1319. SK. NO:31B/2 BAĞCILAR/İST</t>
  </si>
  <si>
    <t>05526475096</t>
  </si>
  <si>
    <t>6942</t>
  </si>
  <si>
    <t>FİLİZ</t>
  </si>
  <si>
    <t>USTA KARAİS</t>
  </si>
  <si>
    <t>ÇAYCUMA</t>
  </si>
  <si>
    <t>KEMAL</t>
  </si>
  <si>
    <t>ATATÜRK MAH. 328. SK. NO:62/1 KÜÇÜKÇEKMECE/İSTANBUL</t>
  </si>
  <si>
    <t>5389233273</t>
  </si>
  <si>
    <t>AB RH +</t>
  </si>
  <si>
    <t>7205</t>
  </si>
  <si>
    <t>GÜLİZAR</t>
  </si>
  <si>
    <t>DAĞ</t>
  </si>
  <si>
    <t>GÜNGÖREN</t>
  </si>
  <si>
    <t>ORUÇ REİS MAH. 565.SK NO: 23/15 ESENLER / İSTANBUL</t>
  </si>
  <si>
    <t>Okur yazar değil</t>
  </si>
  <si>
    <t>5459486849</t>
  </si>
  <si>
    <t>5892</t>
  </si>
  <si>
    <t>GÜLSEREN</t>
  </si>
  <si>
    <t>KANGAL</t>
  </si>
  <si>
    <t>KERİM</t>
  </si>
  <si>
    <t>MEHMET AKİF MH. 1904. SK. NO:9/2  K.ÇEKMECE/İST</t>
  </si>
  <si>
    <t>5421204340</t>
  </si>
  <si>
    <t>7624</t>
  </si>
  <si>
    <t>GÜL</t>
  </si>
  <si>
    <t>REŞADİYE</t>
  </si>
  <si>
    <t>SALİH</t>
  </si>
  <si>
    <t>ATAKENT MAH. ALBATROS ÇIKMAZI SOK. 2. ETAP SİTESİ B-301 BO:2</t>
  </si>
  <si>
    <t>5348132292</t>
  </si>
  <si>
    <t>HAKAN</t>
  </si>
  <si>
    <t>3978</t>
  </si>
  <si>
    <t>HANİFE</t>
  </si>
  <si>
    <t>AYSEL</t>
  </si>
  <si>
    <t>YALVAÇ</t>
  </si>
  <si>
    <t>YUSUF</t>
  </si>
  <si>
    <t>MERKEZ MH FATİH CD EKİN SK NO4 D 6 KÜÇÜKÇEKMECE İST</t>
  </si>
  <si>
    <t>ÇİZİMCİ</t>
  </si>
  <si>
    <t>05378407614</t>
  </si>
  <si>
    <t>HÜSEYİN</t>
  </si>
  <si>
    <t>SÖYLEYİCİ</t>
  </si>
  <si>
    <t>TAŞOVA</t>
  </si>
  <si>
    <t>SÜLEYMAN</t>
  </si>
  <si>
    <t>KOLLUCU</t>
  </si>
  <si>
    <t>BAKIRKÖY</t>
  </si>
  <si>
    <t>4557</t>
  </si>
  <si>
    <t>KEREM</t>
  </si>
  <si>
    <t>PİRÇEK</t>
  </si>
  <si>
    <t>TATVAN</t>
  </si>
  <si>
    <t>KENAN</t>
  </si>
  <si>
    <t>DEMİRKAPI MH 1720 SK NO19 D2 BAĞCILAR</t>
  </si>
  <si>
    <t>5333133552</t>
  </si>
  <si>
    <t>7099</t>
  </si>
  <si>
    <t>MAŞALLAH</t>
  </si>
  <si>
    <t>ÇETİN</t>
  </si>
  <si>
    <t>BAĞCILAR</t>
  </si>
  <si>
    <t>ÇINAR MH 1413 SK NO8 D4 ESENYURT İST</t>
  </si>
  <si>
    <t>5314651960</t>
  </si>
  <si>
    <t>5441</t>
  </si>
  <si>
    <t>MEHMET</t>
  </si>
  <si>
    <t>KANAÇ</t>
  </si>
  <si>
    <t>ACI</t>
  </si>
  <si>
    <t>HACI</t>
  </si>
  <si>
    <t>15 TEMMUZ MH. 1392. SK. NO:12/4 BAĞCILAR /İST.</t>
  </si>
  <si>
    <t>9112.06</t>
  </si>
  <si>
    <t>Temizlik Görevlisi</t>
  </si>
  <si>
    <t>TEMİZLİK GÖREVLİSİ</t>
  </si>
  <si>
    <t>5355040718</t>
  </si>
  <si>
    <t>B RH -</t>
  </si>
  <si>
    <t>1994</t>
  </si>
  <si>
    <t>MEHMET EMİN</t>
  </si>
  <si>
    <t>İDEM</t>
  </si>
  <si>
    <t>BATMAN</t>
  </si>
  <si>
    <t>MEHMET ŞİRİN</t>
  </si>
  <si>
    <t>MEHMET AKİF MH UĞURLU SK NO25 D4 KÜÇÜKÇEKMECE İST</t>
  </si>
  <si>
    <t>5433346872</t>
  </si>
  <si>
    <t>A RH -</t>
  </si>
  <si>
    <t>5743</t>
  </si>
  <si>
    <t>MEHMET NEZİR</t>
  </si>
  <si>
    <t>ACAR</t>
  </si>
  <si>
    <t>KOZLUK</t>
  </si>
  <si>
    <t>MAHMUTBEY MH. 2590. SK. ÖREN APT. BLOK NO:12-14/6 BAĞCILAR</t>
  </si>
  <si>
    <t>5415027221</t>
  </si>
  <si>
    <t>3868</t>
  </si>
  <si>
    <t>MELEK</t>
  </si>
  <si>
    <t>GEYİK</t>
  </si>
  <si>
    <t>ÇARŞAMBA</t>
  </si>
  <si>
    <t>İSMET</t>
  </si>
  <si>
    <t>MAHMUTBEĞ MH 2634 SK NO37 D1 BAĞCILAR İST</t>
  </si>
  <si>
    <t>5453905712</t>
  </si>
  <si>
    <t>7645</t>
  </si>
  <si>
    <t>MERYEM</t>
  </si>
  <si>
    <t>ÇİFCİBAŞI</t>
  </si>
  <si>
    <t>DERİNKUYU</t>
  </si>
  <si>
    <t>ŞABAN</t>
  </si>
  <si>
    <t>FEVZİ ÇAKÇAK MAH. KARABEKİR SK. DEMİR AP NO:23 / 1 BAHÇELİEV</t>
  </si>
  <si>
    <t>5529485139</t>
  </si>
  <si>
    <t>AHMET</t>
  </si>
  <si>
    <t>4889</t>
  </si>
  <si>
    <t>MURAT</t>
  </si>
  <si>
    <t>ÇELİK</t>
  </si>
  <si>
    <t>NUSAYBİN</t>
  </si>
  <si>
    <t>ABDULHAKİM</t>
  </si>
  <si>
    <t>ORUÇRESİ MH. 568 SK. NO:4/4 ESENLER/İST</t>
  </si>
  <si>
    <t>5458335547</t>
  </si>
  <si>
    <t>6663</t>
  </si>
  <si>
    <t>DOĞAN</t>
  </si>
  <si>
    <t>YAHYALI</t>
  </si>
  <si>
    <t>100. YIL MAH. 2152. SK. YABAN APT. NO:18/4 BAĞCILAR/İSTANBUL</t>
  </si>
  <si>
    <t>05330138310</t>
  </si>
  <si>
    <t>6845</t>
  </si>
  <si>
    <t>KONU</t>
  </si>
  <si>
    <t>NİKSAR</t>
  </si>
  <si>
    <t>EMİN</t>
  </si>
  <si>
    <t>GÜVERCİNTEPE MAH. 34/1. SK. NO:11-13/1 BAŞAKŞEHİR/İST.</t>
  </si>
  <si>
    <t>8157.03</t>
  </si>
  <si>
    <t>Ütücü</t>
  </si>
  <si>
    <t>ÜTÜCÜ</t>
  </si>
  <si>
    <t>5372759378</t>
  </si>
  <si>
    <t>SEBAHATTİN</t>
  </si>
  <si>
    <t>7595</t>
  </si>
  <si>
    <t>MUSA</t>
  </si>
  <si>
    <t>BUCAK</t>
  </si>
  <si>
    <t>BAYRAMPAŞA</t>
  </si>
  <si>
    <t>SİYAMİ</t>
  </si>
  <si>
    <t>ORUÇREİS MAH. 564. SK. AYDIN APT. NO:35 / 5 ESENLER/İSTANBUL</t>
  </si>
  <si>
    <t>5382789606</t>
  </si>
  <si>
    <t>7644</t>
  </si>
  <si>
    <t>NAİF</t>
  </si>
  <si>
    <t>ELDEŞ</t>
  </si>
  <si>
    <t>RAUF</t>
  </si>
  <si>
    <t>YAVUZ SELİM MAH. 1101 SOK. NO:20 / 3 BAĞCILAR / İSTANBUL</t>
  </si>
  <si>
    <t>5339676291</t>
  </si>
  <si>
    <t>6137</t>
  </si>
  <si>
    <t>NURETTİN</t>
  </si>
  <si>
    <t>BOZTEPE</t>
  </si>
  <si>
    <t>NURİ</t>
  </si>
  <si>
    <t>TUNA MAH. 675. SK. NO:39/1 ESENLER İSTANBUL</t>
  </si>
  <si>
    <t>5531962444</t>
  </si>
  <si>
    <t>7596</t>
  </si>
  <si>
    <t>RUKİYE</t>
  </si>
  <si>
    <t>HAN</t>
  </si>
  <si>
    <t>ZEKİ</t>
  </si>
  <si>
    <t>ORUÇREİS MAH. 548. SK. NO:51/1 ESENLER / İSTANBUL</t>
  </si>
  <si>
    <t>5348356261</t>
  </si>
  <si>
    <t>7634</t>
  </si>
  <si>
    <t>SEBİHA</t>
  </si>
  <si>
    <t>GÜRGÜR</t>
  </si>
  <si>
    <t>AKPINAR</t>
  </si>
  <si>
    <t>ZAFER MAH. CİHANGİR SOK. NO:52/7 BAHÇELİEVLER İSTANBUL</t>
  </si>
  <si>
    <t>5309313458</t>
  </si>
  <si>
    <t>7579</t>
  </si>
  <si>
    <t>SEFERCAN</t>
  </si>
  <si>
    <t>ALÇİÇEK</t>
  </si>
  <si>
    <t>LEVENT</t>
  </si>
  <si>
    <t>KİRAZLI MAH. 1054. SK.ALÇİÇEK APT NO:16/1 BAĞCILAR/İSTANBUL</t>
  </si>
  <si>
    <t>5550750524</t>
  </si>
  <si>
    <t>KADİR</t>
  </si>
  <si>
    <t>4020</t>
  </si>
  <si>
    <t>SELMA</t>
  </si>
  <si>
    <t>ÖZER</t>
  </si>
  <si>
    <t>BARTIN</t>
  </si>
  <si>
    <t>RAMAZAN</t>
  </si>
  <si>
    <t>HALKALI ÇAMLIK ALTI A2 D1 KÜÇÜKÇEKMECE</t>
  </si>
  <si>
    <t>5316326362</t>
  </si>
  <si>
    <t>6398</t>
  </si>
  <si>
    <t>SERDAL</t>
  </si>
  <si>
    <t>ÖRMECİ</t>
  </si>
  <si>
    <t>PINARLI</t>
  </si>
  <si>
    <t>NEVZAT</t>
  </si>
  <si>
    <t>100. YIL MAH. 2208. SK. NO:21/1 BAĞCILAR/İSTANBUL</t>
  </si>
  <si>
    <t>5373208368</t>
  </si>
  <si>
    <t>7632</t>
  </si>
  <si>
    <t>SEYFİ</t>
  </si>
  <si>
    <t>BOZDAĞ</t>
  </si>
  <si>
    <t>GÜRÜN</t>
  </si>
  <si>
    <t xml:space="preserve">MEHMET </t>
  </si>
  <si>
    <t>SOĞANLI MAH. KILIÇALİ SK. DOĞRU APT NO:27 / 1 BAHÇELİEVLER /</t>
  </si>
  <si>
    <t>5452454666</t>
  </si>
  <si>
    <t>SEYRAN</t>
  </si>
  <si>
    <t>UYSAL</t>
  </si>
  <si>
    <t>UZUNKÖPRÜ</t>
  </si>
  <si>
    <t>5389701342</t>
  </si>
  <si>
    <t>5574</t>
  </si>
  <si>
    <t>SİBEL</t>
  </si>
  <si>
    <t>YILMAZ</t>
  </si>
  <si>
    <t>BULANCAK</t>
  </si>
  <si>
    <t>MAZHAR</t>
  </si>
  <si>
    <t>KOCASİNAN MERKEZ MAH. AYGÜL SK. NO: 5/5 B.EVLER/İST</t>
  </si>
  <si>
    <t>5364846759</t>
  </si>
  <si>
    <t>7589</t>
  </si>
  <si>
    <t>SİNAN</t>
  </si>
  <si>
    <t>GÖÇER</t>
  </si>
  <si>
    <t>TUNCELİ</t>
  </si>
  <si>
    <t>ÇINAR MH 1396 SK NO13 D13 ESENYURT</t>
  </si>
  <si>
    <t>5071800931</t>
  </si>
  <si>
    <t>5655</t>
  </si>
  <si>
    <t>SUAT</t>
  </si>
  <si>
    <t>SİVİL</t>
  </si>
  <si>
    <t>DÜZCE</t>
  </si>
  <si>
    <t>ALATTİN</t>
  </si>
  <si>
    <t>İSMETPAŞA MH ŞEHİT İSMAİL BARUT SK NO8 D4 BAYRAMPAŞA</t>
  </si>
  <si>
    <t>3341.09</t>
  </si>
  <si>
    <t>Vardiya Amiri</t>
  </si>
  <si>
    <t>DİKİMHANE SORUMLUSU</t>
  </si>
  <si>
    <t>5392831783</t>
  </si>
  <si>
    <t>ŞENOL</t>
  </si>
  <si>
    <t>BIYIK</t>
  </si>
  <si>
    <t>ÇATALPINAR</t>
  </si>
  <si>
    <t>KOCA MUSTAFAPAŞA MAH. MERCAN BALIĞI SK. KIYMET AP. NO:7/4 FA</t>
  </si>
  <si>
    <t>7533.19</t>
  </si>
  <si>
    <t>Ponterizci/Ponteriz Otomatçı</t>
  </si>
  <si>
    <t>05455892939</t>
  </si>
  <si>
    <t>3465</t>
  </si>
  <si>
    <t>TUBA</t>
  </si>
  <si>
    <t>KAÇAR</t>
  </si>
  <si>
    <t>15 TEMMUZ MAH 1448 SK. NO: 8/3 BAĞCILAR / İST</t>
  </si>
  <si>
    <t>05377899702</t>
  </si>
  <si>
    <t>GAZİOSMANPAŞA</t>
  </si>
  <si>
    <t>7206</t>
  </si>
  <si>
    <t>ZELAL</t>
  </si>
  <si>
    <t>AKKUM</t>
  </si>
  <si>
    <t>HANİ</t>
  </si>
  <si>
    <t>RECEP</t>
  </si>
  <si>
    <t>MENDERES MAH. 372. SKS NO: 3/5 ESENLER  / İSTANBUL</t>
  </si>
  <si>
    <t>5413562721</t>
  </si>
  <si>
    <t>SAMİ</t>
  </si>
  <si>
    <t>KAVAK</t>
  </si>
  <si>
    <t>8154.32</t>
  </si>
  <si>
    <t>Boyama-Yıkama Makinesi Operatörü (Kumaş)</t>
  </si>
  <si>
    <t>KAMİL</t>
  </si>
  <si>
    <t>OSMAN</t>
  </si>
  <si>
    <t>Yüksek veya Fakülte</t>
  </si>
  <si>
    <t>9333.16</t>
  </si>
  <si>
    <t>Depo Görevlisi ( Yarı Mamül )</t>
  </si>
  <si>
    <t>DEPO GÖREVLİSİ</t>
  </si>
  <si>
    <t>İSMAİL</t>
  </si>
  <si>
    <t>NECİP</t>
  </si>
  <si>
    <t>AYVACIK</t>
  </si>
  <si>
    <t>MUZAFFER</t>
  </si>
  <si>
    <t>VEZİRKÖPRÜ</t>
  </si>
  <si>
    <t>ABDULLAH</t>
  </si>
  <si>
    <t>GİRESUN</t>
  </si>
  <si>
    <t>AYDIN</t>
  </si>
  <si>
    <t>VARDİYA AMİRİ</t>
  </si>
  <si>
    <t>3122.40</t>
  </si>
  <si>
    <t>Numune Takip İşçisi</t>
  </si>
  <si>
    <t>NUMUNE TAKİP PERSONELİ</t>
  </si>
  <si>
    <t>NARMAN</t>
  </si>
  <si>
    <t>MEMİŞ</t>
  </si>
  <si>
    <t>9412.02</t>
  </si>
  <si>
    <t>Çaycı</t>
  </si>
  <si>
    <t>RİZA</t>
  </si>
  <si>
    <t>1219.01</t>
  </si>
  <si>
    <t>Yönetici (İş Hizmetleri)</t>
  </si>
  <si>
    <t>HAVZA</t>
  </si>
  <si>
    <t>8153.06</t>
  </si>
  <si>
    <t>İlik Düğmeci/İlik Düğme Otomatçı</t>
  </si>
  <si>
    <t>EMİNÖNÜ</t>
  </si>
  <si>
    <t>DURSUN</t>
  </si>
  <si>
    <t>BAŞKALE</t>
  </si>
  <si>
    <t>HORASAN</t>
  </si>
  <si>
    <t>SABRİ</t>
  </si>
  <si>
    <t>RİZE</t>
  </si>
  <si>
    <t>10310414824</t>
  </si>
  <si>
    <t>YUNUS</t>
  </si>
  <si>
    <t>2263.02</t>
  </si>
  <si>
    <t>İş Güvenliği Uzmanı (Çok Tehlikeli Sınıf-A)</t>
  </si>
  <si>
    <t>9412.10</t>
  </si>
  <si>
    <t>Yemekhane İşçisi</t>
  </si>
  <si>
    <t>YEMEKHANE İŞÇİSİ</t>
  </si>
  <si>
    <t>8154.28</t>
  </si>
  <si>
    <t>Yıkama Makinesi İşçisi (Tekstil)</t>
  </si>
  <si>
    <t>YIKAMA MAKİNESİ OPERATÖRÜ</t>
  </si>
  <si>
    <t>İSTANBUL</t>
  </si>
  <si>
    <t>KASIM</t>
  </si>
  <si>
    <t>4323.52</t>
  </si>
  <si>
    <t>Sevkiyat Görevlisi</t>
  </si>
  <si>
    <t>SEVKİYAT GÖREVLİSİ</t>
  </si>
  <si>
    <t>0 RH -</t>
  </si>
  <si>
    <t>4323.57</t>
  </si>
  <si>
    <t>Depo Sevkiyat Sorumlusu</t>
  </si>
  <si>
    <t>DEPO SEVKİYAT SORUMLUSU</t>
  </si>
  <si>
    <t>3139.23</t>
  </si>
  <si>
    <t>Kalite Kontrol Sorumlusu</t>
  </si>
  <si>
    <t>ARİF</t>
  </si>
  <si>
    <t>ZONGULDAK</t>
  </si>
  <si>
    <t>TAŞ</t>
  </si>
  <si>
    <t>AYSUN</t>
  </si>
  <si>
    <t>TURAN</t>
  </si>
  <si>
    <t>KAYNARCA</t>
  </si>
  <si>
    <t>BURAK</t>
  </si>
  <si>
    <t>PARİM</t>
  </si>
  <si>
    <t>ŞAHİN</t>
  </si>
  <si>
    <t>EMİNE</t>
  </si>
  <si>
    <t>ERDAL</t>
  </si>
  <si>
    <t>CAN</t>
  </si>
  <si>
    <t>KURTULUŞ</t>
  </si>
  <si>
    <t>GÖKHAN</t>
  </si>
  <si>
    <t>İNAL</t>
  </si>
  <si>
    <t>İLHAN</t>
  </si>
  <si>
    <t>YILDIRIM</t>
  </si>
  <si>
    <t>İSA</t>
  </si>
  <si>
    <t>KAYA</t>
  </si>
  <si>
    <t>ATEŞ</t>
  </si>
  <si>
    <t>KARAMEŞE</t>
  </si>
  <si>
    <t>ŞİŞLİ</t>
  </si>
  <si>
    <t>DEMİR</t>
  </si>
  <si>
    <t>ORUÇ</t>
  </si>
  <si>
    <t>DAŞDEMİR</t>
  </si>
  <si>
    <t>ÖZGÜR</t>
  </si>
  <si>
    <t>MERAL</t>
  </si>
  <si>
    <t>TAYFUN</t>
  </si>
  <si>
    <t>TUFAN</t>
  </si>
  <si>
    <t>UĞUR</t>
  </si>
  <si>
    <t>ASLAN</t>
  </si>
  <si>
    <t>YÜKSEL</t>
  </si>
  <si>
    <t>YAZICI</t>
  </si>
  <si>
    <t>MUAMMER</t>
  </si>
  <si>
    <t>4419.01</t>
  </si>
  <si>
    <t>Müşteri Temsilcisi</t>
  </si>
  <si>
    <t>5829</t>
  </si>
  <si>
    <t>11903818180</t>
  </si>
  <si>
    <t>ALBAYRAK</t>
  </si>
  <si>
    <t>MARDİN</t>
  </si>
  <si>
    <t>REŞİT</t>
  </si>
  <si>
    <t>ATEŞTUĞLA 1594 SK NO21 D2 BAĞCILAR İST</t>
  </si>
  <si>
    <t>7511.12</t>
  </si>
  <si>
    <t>Kesimhane İşçisi</t>
  </si>
  <si>
    <t>SERİMCİ</t>
  </si>
  <si>
    <t>05426862246</t>
  </si>
  <si>
    <t>7073</t>
  </si>
  <si>
    <t>20407314494</t>
  </si>
  <si>
    <t>ABDULSAMET</t>
  </si>
  <si>
    <t>DAĞLI</t>
  </si>
  <si>
    <t>BARBAROS MH. 229. SK. NO:30/4 BAĞCILAR/İSTANBUL</t>
  </si>
  <si>
    <t>5414.11</t>
  </si>
  <si>
    <t>Güvenlik Görevlisi (Silahsız)</t>
  </si>
  <si>
    <t>GÜVENLİK GÖREVLİSİ</t>
  </si>
  <si>
    <t>5418157466</t>
  </si>
  <si>
    <t>58192347144</t>
  </si>
  <si>
    <t>5894</t>
  </si>
  <si>
    <t>32281157852</t>
  </si>
  <si>
    <t>ALİYE</t>
  </si>
  <si>
    <t>ADALMIŞ</t>
  </si>
  <si>
    <t>BÜNYAMİN</t>
  </si>
  <si>
    <t>GÜVERCİNTEPE MH ŞEN SK NO5 D8 BAYRAMTEPE BAŞAKŞEHİR</t>
  </si>
  <si>
    <t>5378435130</t>
  </si>
  <si>
    <t>18317700322</t>
  </si>
  <si>
    <t>7043</t>
  </si>
  <si>
    <t>29483290388</t>
  </si>
  <si>
    <t>KORKMAZ</t>
  </si>
  <si>
    <t>GÖLKÖY</t>
  </si>
  <si>
    <t>CEVAT</t>
  </si>
  <si>
    <t>İLİK DÜĞMECİ/OTOMATÇI</t>
  </si>
  <si>
    <t>5364626943</t>
  </si>
  <si>
    <t>30569326228</t>
  </si>
  <si>
    <t>6558</t>
  </si>
  <si>
    <t>27653576898</t>
  </si>
  <si>
    <t>AYTEN</t>
  </si>
  <si>
    <t>AYMAN</t>
  </si>
  <si>
    <t>İDİL</t>
  </si>
  <si>
    <t>HALEF</t>
  </si>
  <si>
    <t>YILDIZTEPE MAH. 528. SK. GÖKMEN APT. NO:16/3 BAĞCILAR/İSTANB</t>
  </si>
  <si>
    <t>5428283445</t>
  </si>
  <si>
    <t>7324</t>
  </si>
  <si>
    <t>30401461896</t>
  </si>
  <si>
    <t>TAŞKIN</t>
  </si>
  <si>
    <t>GÜLŞEHİR</t>
  </si>
  <si>
    <t>TUNCAY</t>
  </si>
  <si>
    <t>FATİH MAH. 290. SK. SEZGİ APT. NO:28/5 ESENLER / İSTANBUL</t>
  </si>
  <si>
    <t>9321.16</t>
  </si>
  <si>
    <t>Konfeksiyon Ürünlerini Katlama/Paketleme İşçisi</t>
  </si>
  <si>
    <t>PAKETLEME İŞÇİSİ</t>
  </si>
  <si>
    <t>5439501450</t>
  </si>
  <si>
    <t>7643</t>
  </si>
  <si>
    <t>31043079456</t>
  </si>
  <si>
    <t>BARIŞ</t>
  </si>
  <si>
    <t>15 TEMMUZ MAH. 1426 SOK. NO:24 / 7 BAĞCILAR İSTANBUL</t>
  </si>
  <si>
    <t>5413205636</t>
  </si>
  <si>
    <t>18167523744</t>
  </si>
  <si>
    <t>67207069636</t>
  </si>
  <si>
    <t>22021098408</t>
  </si>
  <si>
    <t>5903</t>
  </si>
  <si>
    <t>67309222854</t>
  </si>
  <si>
    <t>CANAN</t>
  </si>
  <si>
    <t>ALTUN</t>
  </si>
  <si>
    <t>ISHAK</t>
  </si>
  <si>
    <t>100. YIL MH. 2178. SK. NO:15/3 BAĞCILAR/İST.</t>
  </si>
  <si>
    <t>5447392925</t>
  </si>
  <si>
    <t>6677</t>
  </si>
  <si>
    <t>67567084980</t>
  </si>
  <si>
    <t>ÖZCAN</t>
  </si>
  <si>
    <t>AYANCIK</t>
  </si>
  <si>
    <t>CELAL</t>
  </si>
  <si>
    <t>İNÖNÜ MAH. OĞUZHAN SK. KOPUSUZOĞLU APT. NO:8/1 K.ÇEKMECE/İST</t>
  </si>
  <si>
    <t>5395855612</t>
  </si>
  <si>
    <t>33344366822</t>
  </si>
  <si>
    <t>CEYDA</t>
  </si>
  <si>
    <t>DAŞTAN</t>
  </si>
  <si>
    <t>BAHÇELİEVLER</t>
  </si>
  <si>
    <t>SİYAVUŞPAŞA MAH. KÜÇÜK ÇINAR SK. ETHEM EFENDİ APT 30/20 BAHÇ</t>
  </si>
  <si>
    <t>2221.22</t>
  </si>
  <si>
    <t>İşyeri Hemşiresi</t>
  </si>
  <si>
    <t>İŞYERİ HEMŞİRESİ</t>
  </si>
  <si>
    <t>5071405390</t>
  </si>
  <si>
    <t>22576470902</t>
  </si>
  <si>
    <t>27599435600</t>
  </si>
  <si>
    <t>24281550030</t>
  </si>
  <si>
    <t>7661</t>
  </si>
  <si>
    <t>40070038596</t>
  </si>
  <si>
    <t>EMRE</t>
  </si>
  <si>
    <t>ÖZTÜRK</t>
  </si>
  <si>
    <t>ARTOVA</t>
  </si>
  <si>
    <t>EYYÜP</t>
  </si>
  <si>
    <t>KAZIM KARABEKİR MAH. 1025. SOK. ÖZTÜRK APT NO:18/4 ESENLER /</t>
  </si>
  <si>
    <t>5394096489</t>
  </si>
  <si>
    <t>18700881508</t>
  </si>
  <si>
    <t>14753368782</t>
  </si>
  <si>
    <t>6717</t>
  </si>
  <si>
    <t>22136639046</t>
  </si>
  <si>
    <t>ERKAN</t>
  </si>
  <si>
    <t>RİŞADİYE</t>
  </si>
  <si>
    <t>TURGUT REİS MAH. 437. SK. NO:5/3 ESENLER/İSTANBUL</t>
  </si>
  <si>
    <t>5324405083</t>
  </si>
  <si>
    <t>7074</t>
  </si>
  <si>
    <t>24298182736</t>
  </si>
  <si>
    <t>ERSİN</t>
  </si>
  <si>
    <t>ÇAKMAK</t>
  </si>
  <si>
    <t>DEMİRKAPI MAH.1653.SK GÜNEYSU APT.NO.11/2 BAĞCILAR/İSTANBUL</t>
  </si>
  <si>
    <t xml:space="preserve">5313078222_x000D_
</t>
  </si>
  <si>
    <t>3504</t>
  </si>
  <si>
    <t>46507638278</t>
  </si>
  <si>
    <t>FATİH</t>
  </si>
  <si>
    <t>BAKIR</t>
  </si>
  <si>
    <t>ZİLE</t>
  </si>
  <si>
    <t>DURAN</t>
  </si>
  <si>
    <t>GÜNEŞLİ MH EVREN CD 1362 SK NO29 D3 BAĞCILAR GÜNEŞLİ</t>
  </si>
  <si>
    <t>SERİMCİ / MAKASTAR</t>
  </si>
  <si>
    <t>05388915013</t>
  </si>
  <si>
    <t>16630689560</t>
  </si>
  <si>
    <t>28697353216</t>
  </si>
  <si>
    <t>BEŞİRİ</t>
  </si>
  <si>
    <t>9321.15</t>
  </si>
  <si>
    <t>Paketleme İşçisi</t>
  </si>
  <si>
    <t>21118116438</t>
  </si>
  <si>
    <t>KÜÇÜK</t>
  </si>
  <si>
    <t>ÖMER</t>
  </si>
  <si>
    <t>70987091292</t>
  </si>
  <si>
    <t>7650</t>
  </si>
  <si>
    <t>51100157392</t>
  </si>
  <si>
    <t>FURKAN</t>
  </si>
  <si>
    <t>UZUN</t>
  </si>
  <si>
    <t>İDRİS</t>
  </si>
  <si>
    <t>GÜNEŞLİ MAH. 1353. SK. NO:3 / 4 BAĞCILAR / İSTANBUL</t>
  </si>
  <si>
    <t>5397131255</t>
  </si>
  <si>
    <t>47047313076</t>
  </si>
  <si>
    <t>69817030464</t>
  </si>
  <si>
    <t>28406429904</t>
  </si>
  <si>
    <t>5885</t>
  </si>
  <si>
    <t>52945401190</t>
  </si>
  <si>
    <t>GÜRBÜZ</t>
  </si>
  <si>
    <t>DÜLGE</t>
  </si>
  <si>
    <t>KESKİN</t>
  </si>
  <si>
    <t>ASIM</t>
  </si>
  <si>
    <t>FATİH MH. 1758. SK. NO:6/1 BAĞCILAR / İSTANBUL</t>
  </si>
  <si>
    <t>5362519465</t>
  </si>
  <si>
    <t>7608</t>
  </si>
  <si>
    <t>21848636480</t>
  </si>
  <si>
    <t>HALİME</t>
  </si>
  <si>
    <t>FEVZİ ÇAHKMAK MAH. 1138. SOK. NO: 47 / 4  ESENLER / İSTANBUL</t>
  </si>
  <si>
    <t>5388558822</t>
  </si>
  <si>
    <t>6995</t>
  </si>
  <si>
    <t>33541573528</t>
  </si>
  <si>
    <t>HAMDİ</t>
  </si>
  <si>
    <t>BOZKURT</t>
  </si>
  <si>
    <t>YÜKSEKOVA</t>
  </si>
  <si>
    <t>ÜTÜ PAKET SORUMLUSU</t>
  </si>
  <si>
    <t>5468783430</t>
  </si>
  <si>
    <t>7594</t>
  </si>
  <si>
    <t>44845812466</t>
  </si>
  <si>
    <t>HANDAN</t>
  </si>
  <si>
    <t>SAYGILI</t>
  </si>
  <si>
    <t>BURSA</t>
  </si>
  <si>
    <t>DURSUN ALİ</t>
  </si>
  <si>
    <t>İNÖNÜ MAH. BURSA SK. NO:4/6 KÜÇÜKÇEKMECE / İSTANBUL</t>
  </si>
  <si>
    <t>5302853255</t>
  </si>
  <si>
    <t>23738048342</t>
  </si>
  <si>
    <t>5915</t>
  </si>
  <si>
    <t>35006000778</t>
  </si>
  <si>
    <t>HANİMİ</t>
  </si>
  <si>
    <t>GÜNEY</t>
  </si>
  <si>
    <t>YEŞİLLİ</t>
  </si>
  <si>
    <t>SEYFETTİN</t>
  </si>
  <si>
    <t>MEHMET AKİF MH 1 SK D2 K.ÇEKMECE İST</t>
  </si>
  <si>
    <t>5050230701</t>
  </si>
  <si>
    <t>25768882422</t>
  </si>
  <si>
    <t>HASAN HÜSEYİN</t>
  </si>
  <si>
    <t>DARENDE</t>
  </si>
  <si>
    <t>BEKTAŞ</t>
  </si>
  <si>
    <t>2211.01</t>
  </si>
  <si>
    <t>Hekim-Pratisyen</t>
  </si>
  <si>
    <t>DOKTOR</t>
  </si>
  <si>
    <t>05322360064</t>
  </si>
  <si>
    <t>5918</t>
  </si>
  <si>
    <t>23605272726</t>
  </si>
  <si>
    <t>HURİZET</t>
  </si>
  <si>
    <t>SARAÇ</t>
  </si>
  <si>
    <t>ŞAVŞAT</t>
  </si>
  <si>
    <t>İNÖNÜ MH MASLAK ÇEŞME CD PİRSULTAN SK A1 BLK D4</t>
  </si>
  <si>
    <t>5545683942</t>
  </si>
  <si>
    <t>5958</t>
  </si>
  <si>
    <t>46411129008</t>
  </si>
  <si>
    <t>HÜLYA</t>
  </si>
  <si>
    <t>MÜRSEL</t>
  </si>
  <si>
    <t>NİNE HATUN MH. AYAZMA CD. NO:28/8 ESENLER/İST.</t>
  </si>
  <si>
    <t>7543.31</t>
  </si>
  <si>
    <t>Metocu/Numaratör</t>
  </si>
  <si>
    <t>METOCU</t>
  </si>
  <si>
    <t>5330224773</t>
  </si>
  <si>
    <t>7602</t>
  </si>
  <si>
    <t>31901265298</t>
  </si>
  <si>
    <t>TOPUZ</t>
  </si>
  <si>
    <t>TERME</t>
  </si>
  <si>
    <t>SELAHATTİN</t>
  </si>
  <si>
    <t>9121.05</t>
  </si>
  <si>
    <t>Ütücü (Elle)</t>
  </si>
  <si>
    <t>0530 939 34 55</t>
  </si>
  <si>
    <t>6422</t>
  </si>
  <si>
    <t>19318187884</t>
  </si>
  <si>
    <t>ATATÜRK MAH. 2225. SK. NO:33/5 ESENYURT/İSTANBUL</t>
  </si>
  <si>
    <t>İLİK DÜĞMECİ/ OTOMATÇI</t>
  </si>
  <si>
    <t>5314052218</t>
  </si>
  <si>
    <t>16540682798</t>
  </si>
  <si>
    <t>6781</t>
  </si>
  <si>
    <t>18788846000</t>
  </si>
  <si>
    <t>MAHMUT</t>
  </si>
  <si>
    <t>ÇİNİ</t>
  </si>
  <si>
    <t>AKSARAY</t>
  </si>
  <si>
    <t>RAHİM</t>
  </si>
  <si>
    <t>BAĞLAR MH. 44. SK. NO:15/5 BAĞCILAR / İSTANBUL</t>
  </si>
  <si>
    <t>5320591668</t>
  </si>
  <si>
    <t>13198783976</t>
  </si>
  <si>
    <t>45091532436</t>
  </si>
  <si>
    <t>6733</t>
  </si>
  <si>
    <t>32392375992</t>
  </si>
  <si>
    <t>MEHMET ALİ</t>
  </si>
  <si>
    <t>BOLLUCA</t>
  </si>
  <si>
    <t>GERCUS</t>
  </si>
  <si>
    <t>SULHADDIN</t>
  </si>
  <si>
    <t>FEVZİ ÇAKMAK MH NENE HATUN SK NO3  KAT3 D5 B.EVLER YENİBOSNA</t>
  </si>
  <si>
    <t>7543.06</t>
  </si>
  <si>
    <t>Kalite Kontrolörü-Kumaş</t>
  </si>
  <si>
    <t>5300145271</t>
  </si>
  <si>
    <t>14475011744</t>
  </si>
  <si>
    <t>72766067382</t>
  </si>
  <si>
    <t>29195341194</t>
  </si>
  <si>
    <t>5790</t>
  </si>
  <si>
    <t>69205034234</t>
  </si>
  <si>
    <t>MERT</t>
  </si>
  <si>
    <t>BEŞİKTAŞ</t>
  </si>
  <si>
    <t>AMBARLI MH. AŞIK VEYSEL 1. SK. NO:28/1 AVCILAR/İST</t>
  </si>
  <si>
    <t>5367304371</t>
  </si>
  <si>
    <t>19310607120</t>
  </si>
  <si>
    <t>10415874752</t>
  </si>
  <si>
    <t>11585635150</t>
  </si>
  <si>
    <t>6726</t>
  </si>
  <si>
    <t>51193713178</t>
  </si>
  <si>
    <t>ÇİFTÇİ</t>
  </si>
  <si>
    <t>ŞANLIURFA</t>
  </si>
  <si>
    <t>ABDULKERİM</t>
  </si>
  <si>
    <t>HÜRRİYET MH. DAĞLAR SK. PINAR BLOK NO:6/6 B.EVLER/İST</t>
  </si>
  <si>
    <t>5425232837</t>
  </si>
  <si>
    <t>28739227178</t>
  </si>
  <si>
    <t>7011</t>
  </si>
  <si>
    <t>21532259100</t>
  </si>
  <si>
    <t>GÜN</t>
  </si>
  <si>
    <t>AMASYA</t>
  </si>
  <si>
    <t>MESUT</t>
  </si>
  <si>
    <t>HAVAALANI MAH. GAYE SK. NO:50 İÇ KAPI NO:5 ESENLER İST</t>
  </si>
  <si>
    <t>NUMUNE TAKİP İŞÇİSİ</t>
  </si>
  <si>
    <t>5558892505</t>
  </si>
  <si>
    <t>6646</t>
  </si>
  <si>
    <t>56113444446</t>
  </si>
  <si>
    <t>NAZLI</t>
  </si>
  <si>
    <t>ÇIRPICI MAH. MODABAĞ 11 SK. NO:6/7 ZEYTİNBURNU/İST</t>
  </si>
  <si>
    <t>4321.02</t>
  </si>
  <si>
    <t>Depo Sorumlusu</t>
  </si>
  <si>
    <t>DEPO SORUMLUSU</t>
  </si>
  <si>
    <t>5447145180</t>
  </si>
  <si>
    <t>62134288464</t>
  </si>
  <si>
    <t>52771789882</t>
  </si>
  <si>
    <t>5467</t>
  </si>
  <si>
    <t>12683064088</t>
  </si>
  <si>
    <t>NİMET</t>
  </si>
  <si>
    <t>YEŞİLBAĞDAN</t>
  </si>
  <si>
    <t>SİLVAN</t>
  </si>
  <si>
    <t>MAREŞAL ÇAKMAK MH CENGAVER SK NO22 D2 GÜNGÖREN İST</t>
  </si>
  <si>
    <t>7533.02</t>
  </si>
  <si>
    <t>Konfeksiyon İşçisi</t>
  </si>
  <si>
    <t>5376965733</t>
  </si>
  <si>
    <t>58345178168</t>
  </si>
  <si>
    <t>5934</t>
  </si>
  <si>
    <t>27991742832</t>
  </si>
  <si>
    <t>NURGÜL</t>
  </si>
  <si>
    <t>KOÇ</t>
  </si>
  <si>
    <t>ESPİYE</t>
  </si>
  <si>
    <t>SANAYİ MH 2627 SK NO9 D4 BAĞCILAR İST</t>
  </si>
  <si>
    <t>5433847995</t>
  </si>
  <si>
    <t>ARPAÇAY</t>
  </si>
  <si>
    <t>A SINIFI İŞ GÜVENLİĞİ UZMANI</t>
  </si>
  <si>
    <t>7330</t>
  </si>
  <si>
    <t>35138101800</t>
  </si>
  <si>
    <t>ÖZAY</t>
  </si>
  <si>
    <t>YALÇIN</t>
  </si>
  <si>
    <t>KİRAZLI MAH 1144 SOK NO 4 D 1 BAĞCILAR İST</t>
  </si>
  <si>
    <t>5432208659</t>
  </si>
  <si>
    <t>7605</t>
  </si>
  <si>
    <t>10898329640</t>
  </si>
  <si>
    <t>RABİA</t>
  </si>
  <si>
    <t>İSKENDERUN</t>
  </si>
  <si>
    <t>EFREYİM</t>
  </si>
  <si>
    <t>GÜVERCİNTEPE MAH. 34. SK. NO:18/19 BAŞAKŞEHİR/İST.</t>
  </si>
  <si>
    <t>5432086110</t>
  </si>
  <si>
    <t>14231835546</t>
  </si>
  <si>
    <t>61153315588</t>
  </si>
  <si>
    <t>10551197098</t>
  </si>
  <si>
    <t>57787576686</t>
  </si>
  <si>
    <t>SEMİH</t>
  </si>
  <si>
    <t>ESENLER</t>
  </si>
  <si>
    <t>28990686974</t>
  </si>
  <si>
    <t>7436</t>
  </si>
  <si>
    <t>22154603340</t>
  </si>
  <si>
    <t>SERKAN</t>
  </si>
  <si>
    <t>BOYABAT</t>
  </si>
  <si>
    <t>YENİMAHALLE MH 1584 SK NO12 D5 BAĞCILAR İST</t>
  </si>
  <si>
    <t>5352349235</t>
  </si>
  <si>
    <t>62863258516</t>
  </si>
  <si>
    <t>56761447134</t>
  </si>
  <si>
    <t>20161978970</t>
  </si>
  <si>
    <t>47632603056</t>
  </si>
  <si>
    <t>30875507724</t>
  </si>
  <si>
    <t>4001</t>
  </si>
  <si>
    <t>42349264408</t>
  </si>
  <si>
    <t>BÜBER</t>
  </si>
  <si>
    <t>BEKİR</t>
  </si>
  <si>
    <t>KESİMHANE SORUMLUSU</t>
  </si>
  <si>
    <t>05392356242</t>
  </si>
  <si>
    <t>46729711704</t>
  </si>
  <si>
    <t>7076</t>
  </si>
  <si>
    <t>14360979548</t>
  </si>
  <si>
    <t>TEKİN</t>
  </si>
  <si>
    <t>ÖZÇİÇEK</t>
  </si>
  <si>
    <t>METİN</t>
  </si>
  <si>
    <t>BARBAROS CAD. 2167. SK NO:20 DAİRE 2 BAĞCILAR / İSTANBUL</t>
  </si>
  <si>
    <t>5376537813</t>
  </si>
  <si>
    <t>10620139776</t>
  </si>
  <si>
    <t>6259</t>
  </si>
  <si>
    <t>34295127890</t>
  </si>
  <si>
    <t>AYAS</t>
  </si>
  <si>
    <t>FATSA</t>
  </si>
  <si>
    <t>KANARYA MAH. ATMACA SK. GÜL GONULKIRMAZ APT. NO:43/9 KÜÇÜKÇE</t>
  </si>
  <si>
    <t>7533.08</t>
  </si>
  <si>
    <t>Bant Şefi (Tekstil)</t>
  </si>
  <si>
    <t>BANT ŞEFİ</t>
  </si>
  <si>
    <t>5424547820</t>
  </si>
  <si>
    <t>3503</t>
  </si>
  <si>
    <t>62278093030</t>
  </si>
  <si>
    <t>TEBER</t>
  </si>
  <si>
    <t>KUMRU</t>
  </si>
  <si>
    <t>MEHMET DURSUN</t>
  </si>
  <si>
    <t>ESENYURT SELAHATTİN EYYUBİ MH 1545 SK NO5 D5 ESENYURT</t>
  </si>
  <si>
    <t>KESİMCİ</t>
  </si>
  <si>
    <t>05357937041</t>
  </si>
  <si>
    <t>59536464978</t>
  </si>
  <si>
    <t>ÜLKÜ SERENAY</t>
  </si>
  <si>
    <t>FEVZİ ÇAKMAK MAH. YUVAM SK. NO:14/3 B.EVLER/İST.</t>
  </si>
  <si>
    <t>2263.04</t>
  </si>
  <si>
    <t>İş Güvenliği Uzmanı (Az Tehlikeli Sınıf-C)</t>
  </si>
  <si>
    <t>C SINIFI İŞ GÜVENLİĞİ UZMANI</t>
  </si>
  <si>
    <t>5537026658</t>
  </si>
  <si>
    <t>7235</t>
  </si>
  <si>
    <t>11948944448</t>
  </si>
  <si>
    <t>YUNUS EMRE</t>
  </si>
  <si>
    <t>SECATTİN</t>
  </si>
  <si>
    <t>TURGUT REİS MH. 504. SK. NO:3/4 ESENLER/İST.</t>
  </si>
  <si>
    <t>VERİ GİRİŞ ELEMANI</t>
  </si>
  <si>
    <t>5373394129</t>
  </si>
  <si>
    <t>41518085530</t>
  </si>
  <si>
    <t>7533</t>
  </si>
  <si>
    <t>13508878460</t>
  </si>
  <si>
    <t>8153.01</t>
  </si>
  <si>
    <t>Model Makineci (Dokuma Hazır Giyim ve Ev Tekstili)</t>
  </si>
  <si>
    <t>MODEL MAKİNECİ</t>
  </si>
  <si>
    <t>5336657288</t>
  </si>
  <si>
    <t>7532.32</t>
  </si>
  <si>
    <t>Modelist Yardımcısı(Tekstil)</t>
  </si>
  <si>
    <t>MODELİST YARDIMCISI</t>
  </si>
  <si>
    <t>7532.22</t>
  </si>
  <si>
    <t>Modelist-Giyim</t>
  </si>
  <si>
    <t>MODELİST</t>
  </si>
  <si>
    <t>6280</t>
  </si>
  <si>
    <t>24152371016</t>
  </si>
  <si>
    <t>ABBAS</t>
  </si>
  <si>
    <t>TORUN</t>
  </si>
  <si>
    <t>ZEKERİYA</t>
  </si>
  <si>
    <t>KEMALPAŞA MAH. 1910. SK. NO:14/4 BAĞCILAR/İST</t>
  </si>
  <si>
    <t>DOKUMA MODEL MAKİNECİ</t>
  </si>
  <si>
    <t>5531615752</t>
  </si>
  <si>
    <t>7304</t>
  </si>
  <si>
    <t>32590906622</t>
  </si>
  <si>
    <t>TAŞKÖPRÜ</t>
  </si>
  <si>
    <t>SATI MEHMET</t>
  </si>
  <si>
    <t>CUMHURİYET MAH. BÜLBÜL SOK. NO:26 D:1 BAHÇELİEVLER İSTANBUL</t>
  </si>
  <si>
    <t>5382485279</t>
  </si>
  <si>
    <t>6860</t>
  </si>
  <si>
    <t>32488139750</t>
  </si>
  <si>
    <t>ALEYNA</t>
  </si>
  <si>
    <t>TUNÇ</t>
  </si>
  <si>
    <t>PİRAN</t>
  </si>
  <si>
    <t>UĞURMUMCU MAH. 1300. SK. NO:8/13 SULTANGAZİ/İST.</t>
  </si>
  <si>
    <t>MÜŞTERİ TEMSİLCİSİ ASİSTANI</t>
  </si>
  <si>
    <t>5418834396</t>
  </si>
  <si>
    <t>KALİTE GÜVENCE</t>
  </si>
  <si>
    <t>7640</t>
  </si>
  <si>
    <t>43990651142</t>
  </si>
  <si>
    <t>MÜSLÜM</t>
  </si>
  <si>
    <t>KANARYA MAH. 1. ÇALIKUŞU SK. ÖNER AP. NO:31 / 11 KÜÇÜKÇEKMEC</t>
  </si>
  <si>
    <t>3122.12</t>
  </si>
  <si>
    <t>Fason Takip Elemanı (Tekstil)</t>
  </si>
  <si>
    <t>FASON TAKİP ELEMANI</t>
  </si>
  <si>
    <t>5333212339</t>
  </si>
  <si>
    <t>ARGE VE KUMAŞ SATINALMA</t>
  </si>
  <si>
    <t>6856</t>
  </si>
  <si>
    <t>52999596958</t>
  </si>
  <si>
    <t>ALİ EMRE</t>
  </si>
  <si>
    <t>MEMET</t>
  </si>
  <si>
    <t>MAHMUT BEY MAH. ATLAS CAD. NO:1/9 BAĞCILAR/İST</t>
  </si>
  <si>
    <t>1324.06</t>
  </si>
  <si>
    <t>Satın Alma Müdürü</t>
  </si>
  <si>
    <t>SATIN ALMA SORUMLUSU</t>
  </si>
  <si>
    <t>5555613798</t>
  </si>
  <si>
    <t>7600</t>
  </si>
  <si>
    <t>28342265338</t>
  </si>
  <si>
    <t>ARZU</t>
  </si>
  <si>
    <t>TEKÇİ</t>
  </si>
  <si>
    <t>YEŞİL KENT MAH. 1953. SK. E3 BLOK DAİRE 188 ESENYURT / İST</t>
  </si>
  <si>
    <t>4311.04</t>
  </si>
  <si>
    <t>Maliyet Kontrolörü (Cost Control) (Otel)</t>
  </si>
  <si>
    <t>MALİYET KONTROL</t>
  </si>
  <si>
    <t>05368860966</t>
  </si>
  <si>
    <t>6580</t>
  </si>
  <si>
    <t>18653048904</t>
  </si>
  <si>
    <t>ASİYE</t>
  </si>
  <si>
    <t>GİDEROĞLU BAŞ</t>
  </si>
  <si>
    <t>ATATÜRK MAH. DİVAN SK. NO:30/1 KÜÇÜKÇEKMECE/İSTANBUL</t>
  </si>
  <si>
    <t>5423992867</t>
  </si>
  <si>
    <t>2840</t>
  </si>
  <si>
    <t>52711130224</t>
  </si>
  <si>
    <t>ASUMAN</t>
  </si>
  <si>
    <t>EKİN</t>
  </si>
  <si>
    <t>MONHRİM</t>
  </si>
  <si>
    <t>TAYYAR</t>
  </si>
  <si>
    <t>2431.04</t>
  </si>
  <si>
    <t>Pazarlama Uzmanı</t>
  </si>
  <si>
    <t>05326979466</t>
  </si>
  <si>
    <t>3950</t>
  </si>
  <si>
    <t>67516174366</t>
  </si>
  <si>
    <t>ÇİFÇİ</t>
  </si>
  <si>
    <t>AVCILAR</t>
  </si>
  <si>
    <t>VELİ</t>
  </si>
  <si>
    <t>05397327353</t>
  </si>
  <si>
    <t>6959</t>
  </si>
  <si>
    <t>32707748862</t>
  </si>
  <si>
    <t>TUĞLUK</t>
  </si>
  <si>
    <t>15 TEMMUZ MAH. 1443. SK. NO:19/1 BAĞCILAR/İST.</t>
  </si>
  <si>
    <t>5382744484</t>
  </si>
  <si>
    <t>ERFELEK</t>
  </si>
  <si>
    <t>4064</t>
  </si>
  <si>
    <t>31823207444</t>
  </si>
  <si>
    <t>AYGÜL</t>
  </si>
  <si>
    <t>KAHRAMAN</t>
  </si>
  <si>
    <t>AYBASTI</t>
  </si>
  <si>
    <t>CABBAR</t>
  </si>
  <si>
    <t>05078578764</t>
  </si>
  <si>
    <t>7079</t>
  </si>
  <si>
    <t>26539679906</t>
  </si>
  <si>
    <t>AYHAN</t>
  </si>
  <si>
    <t>ERZURUM</t>
  </si>
  <si>
    <t>AĞA</t>
  </si>
  <si>
    <t>DEMİRKAPI MH.1598. SK NO:9 / 5 BAĞCILAR İSTANBUL</t>
  </si>
  <si>
    <t>5522846225</t>
  </si>
  <si>
    <t>6957</t>
  </si>
  <si>
    <t>29359357306</t>
  </si>
  <si>
    <t>DEMİRKAPI MAH. 1685. SK. NO:22/2 BAĞCILAR/İSTANBUL</t>
  </si>
  <si>
    <t>2411.09</t>
  </si>
  <si>
    <t>Muhasebeci</t>
  </si>
  <si>
    <t>MUHASEBE PERSONELİ</t>
  </si>
  <si>
    <t>5413463417</t>
  </si>
  <si>
    <t>3237</t>
  </si>
  <si>
    <t>14657642858</t>
  </si>
  <si>
    <t>ERSÖZ</t>
  </si>
  <si>
    <t>MALATYA</t>
  </si>
  <si>
    <t>4322.03</t>
  </si>
  <si>
    <t>Planlama Ve Kontrol İşçisi (Tekstil)</t>
  </si>
  <si>
    <t>PLANLAMA VE KONTROL İŞÇİSİ</t>
  </si>
  <si>
    <t>05057764429</t>
  </si>
  <si>
    <t>6573</t>
  </si>
  <si>
    <t>18533754994</t>
  </si>
  <si>
    <t>BALKİ</t>
  </si>
  <si>
    <t>MEHMET AKİF MAH. 2. YASEMİN SK. NO:9/4 KÜÇÜKÇEKMECE/İSTANBUL</t>
  </si>
  <si>
    <t>05436836382</t>
  </si>
  <si>
    <t>7438</t>
  </si>
  <si>
    <t>31607243354</t>
  </si>
  <si>
    <t>BAĞNU</t>
  </si>
  <si>
    <t>3322.03</t>
  </si>
  <si>
    <t>Pazarlamacı (Satış Temsilcisi)</t>
  </si>
  <si>
    <t>PAZARLAMACI</t>
  </si>
  <si>
    <t>TACETTİN</t>
  </si>
  <si>
    <t>7439</t>
  </si>
  <si>
    <t>41908344520</t>
  </si>
  <si>
    <t>BERRA</t>
  </si>
  <si>
    <t>7091</t>
  </si>
  <si>
    <t>48064478472</t>
  </si>
  <si>
    <t>ÇİÇEKDAĞ</t>
  </si>
  <si>
    <t>KARAPINAR</t>
  </si>
  <si>
    <t>BATTALGAZİ MAH. 310. SK. NO:11-15 İÇ KAPI NO:17 ESENYURT İST</t>
  </si>
  <si>
    <t>İLİK DÜĞMECİ/İLİK DÜĞME OTOMAT</t>
  </si>
  <si>
    <t>5077649902</t>
  </si>
  <si>
    <t>6312</t>
  </si>
  <si>
    <t>30541656190</t>
  </si>
  <si>
    <t>CUMHURİYET MAH. FÜZE SK. OSMAN ÇELEBİOĞLU APT. NO:28/8</t>
  </si>
  <si>
    <t>8332.02</t>
  </si>
  <si>
    <t>Şoför- Yük Taşıma</t>
  </si>
  <si>
    <t>5378116353</t>
  </si>
  <si>
    <t>7617</t>
  </si>
  <si>
    <t>11249534638</t>
  </si>
  <si>
    <t>ÜNVER</t>
  </si>
  <si>
    <t>CENAP</t>
  </si>
  <si>
    <t>ORTA MAH. CANDAN SK. C BLOK SİTESİ ADANUS PARK NO:21B</t>
  </si>
  <si>
    <t>2514.05</t>
  </si>
  <si>
    <t>Bilgi İşlem Destek Uzmanı</t>
  </si>
  <si>
    <t>BİLGİ İŞLEM UZMANI</t>
  </si>
  <si>
    <t>5423277733</t>
  </si>
  <si>
    <t>7509</t>
  </si>
  <si>
    <t>28660905848</t>
  </si>
  <si>
    <t>BURCU</t>
  </si>
  <si>
    <t>ÖZGENER</t>
  </si>
  <si>
    <t>DENİZKÖŞKLER MAH TUNA SK NO:20 AVCILAR/İSTANBUL</t>
  </si>
  <si>
    <t>3323.02</t>
  </si>
  <si>
    <t>Satın Alma Sorumlusu</t>
  </si>
  <si>
    <t>DOKUMA KUMAŞ SATIN ALMA SORUMLUS</t>
  </si>
  <si>
    <t>5325866572</t>
  </si>
  <si>
    <t>7513</t>
  </si>
  <si>
    <t>53101417888</t>
  </si>
  <si>
    <t xml:space="preserve">ZILE </t>
  </si>
  <si>
    <t xml:space="preserve">NADIR </t>
  </si>
  <si>
    <t>TAHTAKALE MAH. FARUK NAFİZ ÇAMLIBEL CAD. NO:7/7 - 60 AVCILAR</t>
  </si>
  <si>
    <t>7532.36</t>
  </si>
  <si>
    <t>Bilgisayarlı Modelist/Bilgisayarlı Kalıp Operatörlüğü</t>
  </si>
  <si>
    <t>PASTAL PLANLAMA</t>
  </si>
  <si>
    <t>5354083164</t>
  </si>
  <si>
    <t>7406</t>
  </si>
  <si>
    <t>27277085110</t>
  </si>
  <si>
    <t>CANSU</t>
  </si>
  <si>
    <t>BİRLİKÇİ</t>
  </si>
  <si>
    <t>ÜSKÜDAR</t>
  </si>
  <si>
    <t>FAZIL</t>
  </si>
  <si>
    <t>ZAFER MH MESUT 1SK NO3 D13 B.EVLER İSTANBUL</t>
  </si>
  <si>
    <t>5394245205</t>
  </si>
  <si>
    <t>6661</t>
  </si>
  <si>
    <t>21583075674</t>
  </si>
  <si>
    <t>CAVİT</t>
  </si>
  <si>
    <t>GENÇ</t>
  </si>
  <si>
    <t>İNÖNÜ MH. 364. SK. NO:26/8 ESENYURT / İST.</t>
  </si>
  <si>
    <t>MODEL KESİMCİ</t>
  </si>
  <si>
    <t>5077607805</t>
  </si>
  <si>
    <t>7504</t>
  </si>
  <si>
    <t>11501281256</t>
  </si>
  <si>
    <t>KÖROĞLU</t>
  </si>
  <si>
    <t>KEŞAP</t>
  </si>
  <si>
    <t>KAZIM KARABEKİR MAH. 842. SK. NO:24-26/7 GAZİOSMANPAŞA/İST</t>
  </si>
  <si>
    <t>5383999470</t>
  </si>
  <si>
    <t>7222</t>
  </si>
  <si>
    <t>19085539886</t>
  </si>
  <si>
    <t>CEMİLE</t>
  </si>
  <si>
    <t>SALIPAZARI</t>
  </si>
  <si>
    <t>YAVUZ SELİM MAH. 1030.SK NO:3/4 BAĞCILAR / İSTANBUL</t>
  </si>
  <si>
    <t>5398972875</t>
  </si>
  <si>
    <t>7108</t>
  </si>
  <si>
    <t>7535</t>
  </si>
  <si>
    <t>12431448030</t>
  </si>
  <si>
    <t>ÇAĞATAY</t>
  </si>
  <si>
    <t>ÇANGIR</t>
  </si>
  <si>
    <t>KOCATEPE MAH. KOCATEPE CAD. NO:27/4 BAYRAMPAŞA/İSTANBUL</t>
  </si>
  <si>
    <t>4311.05</t>
  </si>
  <si>
    <t>Bilgisayarlı Muhasebe Elemanı</t>
  </si>
  <si>
    <t>5318802917</t>
  </si>
  <si>
    <t>7499</t>
  </si>
  <si>
    <t>63289163446</t>
  </si>
  <si>
    <t>HALKALI MERKEZ MH DEMİRKAPI CD A BLOK NO 27/16 K. ÇEKMECE İS</t>
  </si>
  <si>
    <t>4322.05</t>
  </si>
  <si>
    <t>Planlama Şefi</t>
  </si>
  <si>
    <t>PLANLAMA ŞEFİ</t>
  </si>
  <si>
    <t>5469490111</t>
  </si>
  <si>
    <t>6157</t>
  </si>
  <si>
    <t>31661170016</t>
  </si>
  <si>
    <t>DİLAN</t>
  </si>
  <si>
    <t>SAVUR</t>
  </si>
  <si>
    <t>FATİH MAH. GAZNELİLER SK. NO:16/4 ESENLER/İSTANBUL</t>
  </si>
  <si>
    <t>5379980382</t>
  </si>
  <si>
    <t>6854</t>
  </si>
  <si>
    <t>25687480280</t>
  </si>
  <si>
    <t>EBRU</t>
  </si>
  <si>
    <t>ALTINTAŞ</t>
  </si>
  <si>
    <t>HAYRETTİN</t>
  </si>
  <si>
    <t>1221.08</t>
  </si>
  <si>
    <t>Pazarlama Müdürü</t>
  </si>
  <si>
    <t>PAZARLAMA MÜDÜRÜ</t>
  </si>
  <si>
    <t>05497789624</t>
  </si>
  <si>
    <t>6564</t>
  </si>
  <si>
    <t>21929597464</t>
  </si>
  <si>
    <t>ECE NUR</t>
  </si>
  <si>
    <t>ERGÖR</t>
  </si>
  <si>
    <t>TAHTAKALE MAH. AYÇİÇEĞİ SK. D2 BLOK NO:2/6 İÇ KAPI NO:109</t>
  </si>
  <si>
    <t>5417157236</t>
  </si>
  <si>
    <t>4663</t>
  </si>
  <si>
    <t>55987141178</t>
  </si>
  <si>
    <t>ECEM</t>
  </si>
  <si>
    <t>KIRAN</t>
  </si>
  <si>
    <t>KAYSERİ</t>
  </si>
  <si>
    <t>5387651583</t>
  </si>
  <si>
    <t>YIKAMA SEVKİYAT</t>
  </si>
  <si>
    <t>7136</t>
  </si>
  <si>
    <t>21665606406</t>
  </si>
  <si>
    <t>ELİF</t>
  </si>
  <si>
    <t>KORU</t>
  </si>
  <si>
    <t>05303229867</t>
  </si>
  <si>
    <t>6544</t>
  </si>
  <si>
    <t>19037227168</t>
  </si>
  <si>
    <t>ELİF RANA</t>
  </si>
  <si>
    <t>DEMİRKAPI MAH. 1624. SK. GÜN APT. NO:6/2 BAĞCILAR/İSTANBUL</t>
  </si>
  <si>
    <t>5443763356</t>
  </si>
  <si>
    <t>4110</t>
  </si>
  <si>
    <t>30859458226</t>
  </si>
  <si>
    <t>KOPARIR</t>
  </si>
  <si>
    <t>MEHMET ŞAFİİ</t>
  </si>
  <si>
    <t>ATATÜRK MH 318 SK NO5 D3 İKİTELLİ</t>
  </si>
  <si>
    <t>5438864221</t>
  </si>
  <si>
    <t>5592</t>
  </si>
  <si>
    <t>17488237156</t>
  </si>
  <si>
    <t>ABUZER</t>
  </si>
  <si>
    <t>MEHMET AKİF MH. 4. CAN SK. NO:26/8 K.ÇEKMECE/İST.</t>
  </si>
  <si>
    <t>4132.10</t>
  </si>
  <si>
    <t>Veri Giriş Elemanı</t>
  </si>
  <si>
    <t>İZLENEBİLİRLİK UZMANI</t>
  </si>
  <si>
    <t>5412860999</t>
  </si>
  <si>
    <t>7633</t>
  </si>
  <si>
    <t>12763757008</t>
  </si>
  <si>
    <t>SINDIRGI</t>
  </si>
  <si>
    <t>ŞİRİNEVLER MAH. MAHMUTBEY 9. SK. KILIÇ APT NO:40 / 12 BAHÇEL</t>
  </si>
  <si>
    <t>DOKUMA MODELİSTİ</t>
  </si>
  <si>
    <t>5359394666</t>
  </si>
  <si>
    <t>2857</t>
  </si>
  <si>
    <t>65539192022</t>
  </si>
  <si>
    <t>KIRBAŞ</t>
  </si>
  <si>
    <t>ŞENER</t>
  </si>
  <si>
    <t>7318.31</t>
  </si>
  <si>
    <t>Kumaş Kontrol İşçisi</t>
  </si>
  <si>
    <t>YIKAMA TAKİP PERSONELİ</t>
  </si>
  <si>
    <t>05313891031</t>
  </si>
  <si>
    <t>0229</t>
  </si>
  <si>
    <t>63307266418</t>
  </si>
  <si>
    <t>05365570706</t>
  </si>
  <si>
    <t>7368</t>
  </si>
  <si>
    <t>52783752706</t>
  </si>
  <si>
    <t>AVŞAR</t>
  </si>
  <si>
    <t>ARDAHAN</t>
  </si>
  <si>
    <t>ZİYATTİN</t>
  </si>
  <si>
    <t>AKPINAR MAH FİDE SOK NO 44 D 1 SANCAKTEPE İST</t>
  </si>
  <si>
    <t>FASON TAKİP SORUMLUSU</t>
  </si>
  <si>
    <t>5074035470</t>
  </si>
  <si>
    <t>7194</t>
  </si>
  <si>
    <t>44638407466</t>
  </si>
  <si>
    <t>ERTAN</t>
  </si>
  <si>
    <t>7422.05</t>
  </si>
  <si>
    <t>Bilgisayar Ağ Sistemleri ve Yönlendirme Elemanı</t>
  </si>
  <si>
    <t>BİLGİ İŞLEM PERSONELİ</t>
  </si>
  <si>
    <t>5312433248</t>
  </si>
  <si>
    <t>ORHAN</t>
  </si>
  <si>
    <t>68494003914</t>
  </si>
  <si>
    <t>EVREN</t>
  </si>
  <si>
    <t>ÇAVUŞOĞLU</t>
  </si>
  <si>
    <t>05058957028</t>
  </si>
  <si>
    <t>YAŞAR</t>
  </si>
  <si>
    <t>4452</t>
  </si>
  <si>
    <t>37601188172</t>
  </si>
  <si>
    <t>YAZAREL</t>
  </si>
  <si>
    <t>BOĞAZLIYAN</t>
  </si>
  <si>
    <t>05336936972</t>
  </si>
  <si>
    <t>7532.01</t>
  </si>
  <si>
    <t>Kesimci (Konfeksiyon)</t>
  </si>
  <si>
    <t>34223145958</t>
  </si>
  <si>
    <t>DURGUN</t>
  </si>
  <si>
    <t>ORDU</t>
  </si>
  <si>
    <t>DEMİRKAPI MH. ŞEHİT NEDİM DEMİR SK. TUĞSALLAR SİTESİ A-1 BLO</t>
  </si>
  <si>
    <t>4229.03</t>
  </si>
  <si>
    <t>Hasta Kabul Görevlisi</t>
  </si>
  <si>
    <t>DANIŞMA GÖREVLİSİ</t>
  </si>
  <si>
    <t>5458160760</t>
  </si>
  <si>
    <t>7008</t>
  </si>
  <si>
    <t>31406250416</t>
  </si>
  <si>
    <t>SARI</t>
  </si>
  <si>
    <t>YENİGÜN MAH.613. SK NO:23 İÇKAPI 8 BAĞCILAR/ İST</t>
  </si>
  <si>
    <t>ŞOFÖR YÜK TAŞIMA</t>
  </si>
  <si>
    <t>5326169348</t>
  </si>
  <si>
    <t>2. KALİTE DEPO</t>
  </si>
  <si>
    <t>7563</t>
  </si>
  <si>
    <t>21601996622</t>
  </si>
  <si>
    <t>BAHADIRLI</t>
  </si>
  <si>
    <t>TEBUK</t>
  </si>
  <si>
    <t>YENİMAHALLE MAH. DÖKÜMCÜLER CAD. ANGÜNLER SİTESİ A3 NO:35 /</t>
  </si>
  <si>
    <t>9333.18</t>
  </si>
  <si>
    <t>Depo Görevlisi(Tamamlanmış Ürün)</t>
  </si>
  <si>
    <t>DEPO GÖREVLİSİ (SAYIMCI)</t>
  </si>
  <si>
    <t>5386529117</t>
  </si>
  <si>
    <t>4571</t>
  </si>
  <si>
    <t>37324941092</t>
  </si>
  <si>
    <t>ÖZDEMİR</t>
  </si>
  <si>
    <t>GEREDE</t>
  </si>
  <si>
    <t>05383043280</t>
  </si>
  <si>
    <t>5700</t>
  </si>
  <si>
    <t>52243133878</t>
  </si>
  <si>
    <t>FERHAN</t>
  </si>
  <si>
    <t>KOLAKAN</t>
  </si>
  <si>
    <t>GÖKALP MH. 31. SK. NO:30/3 ZEYTİNBURNU/İST.</t>
  </si>
  <si>
    <t>5424068750</t>
  </si>
  <si>
    <t>6977</t>
  </si>
  <si>
    <t>41378113480</t>
  </si>
  <si>
    <t>FERİT</t>
  </si>
  <si>
    <t>MAHMUTBEY MH. 2592. SK. KARADENİZ APT NO:14/7 BAĞCILAR/İST</t>
  </si>
  <si>
    <t>5317796221</t>
  </si>
  <si>
    <t>2719</t>
  </si>
  <si>
    <t>56215561652</t>
  </si>
  <si>
    <t>FERMAN</t>
  </si>
  <si>
    <t>GEVEŞ</t>
  </si>
  <si>
    <t>GÜVERCİNTEPE MH AHMET YESEVİ SK 15 NO63 BAŞAKŞEHİR İST</t>
  </si>
  <si>
    <t>05384217218</t>
  </si>
  <si>
    <t>ŞEVKET</t>
  </si>
  <si>
    <t>3041</t>
  </si>
  <si>
    <t>27095081608</t>
  </si>
  <si>
    <t>MADEN</t>
  </si>
  <si>
    <t>MALİYET KONTROLÖRÜ</t>
  </si>
  <si>
    <t>05052703536</t>
  </si>
  <si>
    <t>7450</t>
  </si>
  <si>
    <t>41911344456</t>
  </si>
  <si>
    <t>FURKAN BORA</t>
  </si>
  <si>
    <t>3474</t>
  </si>
  <si>
    <t>45466791710</t>
  </si>
  <si>
    <t>GAMZE</t>
  </si>
  <si>
    <t>PALALI</t>
  </si>
  <si>
    <t>NAMİ</t>
  </si>
  <si>
    <t xml:space="preserve">DİKİM TALİMATI </t>
  </si>
  <si>
    <t>05433187177</t>
  </si>
  <si>
    <t>6966</t>
  </si>
  <si>
    <t>54775078092</t>
  </si>
  <si>
    <t>GAYE</t>
  </si>
  <si>
    <t>NECDET</t>
  </si>
  <si>
    <t>ATATÜRK MAH. 326. SK. PAPATYA AP. SİTESİ NO:64/12 K.ÇEKMECE/</t>
  </si>
  <si>
    <t>5365741499</t>
  </si>
  <si>
    <t>5028</t>
  </si>
  <si>
    <t>38623363004</t>
  </si>
  <si>
    <t>KUZEY</t>
  </si>
  <si>
    <t>3323.03</t>
  </si>
  <si>
    <t>Satın Alma Görevlisi</t>
  </si>
  <si>
    <t>SATIN ALMA GÖREVLİSİ</t>
  </si>
  <si>
    <t>5314661894</t>
  </si>
  <si>
    <t>7138</t>
  </si>
  <si>
    <t>49774306482</t>
  </si>
  <si>
    <t>ALTINŞEHİR MAH. EREN SK. NO:28 / 10 BAŞAKŞEHİR  / İSTANBUL</t>
  </si>
  <si>
    <t>5386751989</t>
  </si>
  <si>
    <t>7472</t>
  </si>
  <si>
    <t>46357125362</t>
  </si>
  <si>
    <t>BEKÇİ</t>
  </si>
  <si>
    <t>15 TEMMUZ MAH. 1428. SK. KARADENİZ APT. NO:13 / 1 BAĞCILAR</t>
  </si>
  <si>
    <t>8321.02</t>
  </si>
  <si>
    <t>Motosikletli Kurye</t>
  </si>
  <si>
    <t>KURYE</t>
  </si>
  <si>
    <t>5305194410</t>
  </si>
  <si>
    <t>6509</t>
  </si>
  <si>
    <t>50566839002</t>
  </si>
  <si>
    <t>GÜLÇİN</t>
  </si>
  <si>
    <t>ÇITAK</t>
  </si>
  <si>
    <t>ÖKKEŞ</t>
  </si>
  <si>
    <t>CUMHURİYET MAH. HİRRÜYET CAD. NO:23 İNOVİAL SİTESİ 7B-75</t>
  </si>
  <si>
    <t>5358658831</t>
  </si>
  <si>
    <t>7263</t>
  </si>
  <si>
    <t>12532558416</t>
  </si>
  <si>
    <t>GÜLER</t>
  </si>
  <si>
    <t>ÇOBAN</t>
  </si>
  <si>
    <t>EMEK MAH. PAPATYA SK. NO: 2/3 TURHAL TOKAT</t>
  </si>
  <si>
    <t>5414670534</t>
  </si>
  <si>
    <t>4402</t>
  </si>
  <si>
    <t>40012939110</t>
  </si>
  <si>
    <t>GÜLSÜM</t>
  </si>
  <si>
    <t>EKREM</t>
  </si>
  <si>
    <t>05445546352</t>
  </si>
  <si>
    <t>3833</t>
  </si>
  <si>
    <t>30139753966</t>
  </si>
  <si>
    <t>GÜNGÖR</t>
  </si>
  <si>
    <t>ARSLAN</t>
  </si>
  <si>
    <t>YOLCU</t>
  </si>
  <si>
    <t>HALKALI MERKEZ MH SARAL SK NO9/11 D8 K.ÇEKMECE İST</t>
  </si>
  <si>
    <t>5418963436</t>
  </si>
  <si>
    <t>7351</t>
  </si>
  <si>
    <t>13577430156</t>
  </si>
  <si>
    <t>GÜRKAN</t>
  </si>
  <si>
    <t>ÖZDAĞ</t>
  </si>
  <si>
    <t>RAMİ CUMA MH RAMİ EYÜP CD NO 66/1 D 1 EYÜPSULTAN İST</t>
  </si>
  <si>
    <t>AKSESUAR TEYMİN ELEMANI</t>
  </si>
  <si>
    <t>5382605675</t>
  </si>
  <si>
    <t>5888</t>
  </si>
  <si>
    <t>46657829298</t>
  </si>
  <si>
    <t>ÇORUH</t>
  </si>
  <si>
    <t>ARAKLI</t>
  </si>
  <si>
    <t>5357281333</t>
  </si>
  <si>
    <t>7404</t>
  </si>
  <si>
    <t>27115773766</t>
  </si>
  <si>
    <t>FİDAN</t>
  </si>
  <si>
    <t>CAHİT</t>
  </si>
  <si>
    <t>CEVATPAŞA MH ORAMİRAL SADIK ALTINCAN CD NO 18/2 B.PAŞA İST</t>
  </si>
  <si>
    <t>5447871289</t>
  </si>
  <si>
    <t>7469</t>
  </si>
  <si>
    <t>48910398800</t>
  </si>
  <si>
    <t>ÖZMEN</t>
  </si>
  <si>
    <t>DAVUTPAŞA MAH NİĞBOLU CAD NO 37 İÇ 3 ESENLER İSTANBUL</t>
  </si>
  <si>
    <t>5449076483</t>
  </si>
  <si>
    <t>6693</t>
  </si>
  <si>
    <t>37864922674</t>
  </si>
  <si>
    <t>HAKAN ŞÜKRÜ</t>
  </si>
  <si>
    <t>NECATİ</t>
  </si>
  <si>
    <t>MEHMET AKİF MAH. 1. SEMBOL SK. MURAT APT. NO:25/3 K.ÇEKMECE</t>
  </si>
  <si>
    <t>KAMYON ŞOFÖRÜ</t>
  </si>
  <si>
    <t>5431403460</t>
  </si>
  <si>
    <t>DUVAN</t>
  </si>
  <si>
    <t>ÜTÜ PAKET FASON TAKİP</t>
  </si>
  <si>
    <t>7649</t>
  </si>
  <si>
    <t>40757018552</t>
  </si>
  <si>
    <t>ŞAHİNTEPE MAH. ESKİ İSTANBUL CAD. ZAFER SK. NO:16/3 BAŞAKŞEH</t>
  </si>
  <si>
    <t>5388247579</t>
  </si>
  <si>
    <t>7393</t>
  </si>
  <si>
    <t>33877450760</t>
  </si>
  <si>
    <t>HARUN</t>
  </si>
  <si>
    <t>SEVEN</t>
  </si>
  <si>
    <t>KEMALETTİN</t>
  </si>
  <si>
    <t>CUMHURİYET MH 2. AKASYA SK HATİPOĞLU NO7 D2 KÜÇÜKÇEKMECE İST</t>
  </si>
  <si>
    <t>5073190061</t>
  </si>
  <si>
    <t>2539</t>
  </si>
  <si>
    <t>24433836036</t>
  </si>
  <si>
    <t>KIRVELİ</t>
  </si>
  <si>
    <t>FEVZİ ÇAKMAK MH 2089 SK NO13 D8 BAĞCILAR İST</t>
  </si>
  <si>
    <t>ETİKET PERSONELİ</t>
  </si>
  <si>
    <t>5418363628</t>
  </si>
  <si>
    <t>3985</t>
  </si>
  <si>
    <t>14912293764</t>
  </si>
  <si>
    <t>ÖZSOBACI</t>
  </si>
  <si>
    <t>FUAT</t>
  </si>
  <si>
    <t>4311.13</t>
  </si>
  <si>
    <t>Muhasebe Uzmanı</t>
  </si>
  <si>
    <t>MUHASEBE MÜDÜRÜ</t>
  </si>
  <si>
    <t>05543931628</t>
  </si>
  <si>
    <t>6936</t>
  </si>
  <si>
    <t>18310383850</t>
  </si>
  <si>
    <t>MEHMET AKİF MAH. DERİN SK. NO:20/6 K.ÇEKMECE/İST</t>
  </si>
  <si>
    <t>5368469205</t>
  </si>
  <si>
    <t>7506</t>
  </si>
  <si>
    <t>34642971152</t>
  </si>
  <si>
    <t>ZAFER MH. GELİNCİK 1 SK. NO:16-18 / 11 BAHÇELİEVLER/İST.</t>
  </si>
  <si>
    <t>5378325383</t>
  </si>
  <si>
    <t>7627</t>
  </si>
  <si>
    <t>54529502002</t>
  </si>
  <si>
    <t>TEVFİK</t>
  </si>
  <si>
    <t>GÜNEŞLİ MH. 1279. SK. NO:/2 BAĞCILAR/İSTANBUL</t>
  </si>
  <si>
    <t>3311.07</t>
  </si>
  <si>
    <t>Finans Hizmetleri Elemanı</t>
  </si>
  <si>
    <t>FİNANS HİZMETLERİ ELEMANI</t>
  </si>
  <si>
    <t>5333847166</t>
  </si>
  <si>
    <t>1498</t>
  </si>
  <si>
    <t>5634</t>
  </si>
  <si>
    <t>22508546798</t>
  </si>
  <si>
    <t>HİLAL</t>
  </si>
  <si>
    <t>FETİH MH. 1777. SK. NO:33/D:3 BAĞCILAR</t>
  </si>
  <si>
    <t>5054718653</t>
  </si>
  <si>
    <t>2571</t>
  </si>
  <si>
    <t>27785416482</t>
  </si>
  <si>
    <t>05415238895</t>
  </si>
  <si>
    <t>6686</t>
  </si>
  <si>
    <t>31508283336</t>
  </si>
  <si>
    <t>KIDIL</t>
  </si>
  <si>
    <t>İNÖNÜ MAH. 1. ARIKUŞU SK. SEFAMKENT SİTESİ A BLOK NO:2/13</t>
  </si>
  <si>
    <t>AKSESUAR DEPO SORUMLUSU</t>
  </si>
  <si>
    <t>05327765432</t>
  </si>
  <si>
    <t>6778</t>
  </si>
  <si>
    <t>36350057234</t>
  </si>
  <si>
    <t>ATIŞALANI KEMER MAH. 935. SK. NO:14/1 ESENLER/İST</t>
  </si>
  <si>
    <t>5387926177</t>
  </si>
  <si>
    <t>7587</t>
  </si>
  <si>
    <t>34391171100</t>
  </si>
  <si>
    <t>DUMANOĞLU</t>
  </si>
  <si>
    <t>MEHMET AKİF MAH. 2.SEFA SK. NO:28 / 6 KÜÇÜKÇEKMECE / İSTANBU</t>
  </si>
  <si>
    <t>5449694304</t>
  </si>
  <si>
    <t>TASARIM</t>
  </si>
  <si>
    <t>7488</t>
  </si>
  <si>
    <t>22264017396</t>
  </si>
  <si>
    <t>ITIR</t>
  </si>
  <si>
    <t>AYDOĞAN</t>
  </si>
  <si>
    <t>NİHAT</t>
  </si>
  <si>
    <t>PAŞA MAH. BARITÇULAR SK. NO:54-56/1 ŞİŞLİ / İSTANBUL</t>
  </si>
  <si>
    <t>2163.19</t>
  </si>
  <si>
    <t>Ayakkabı Modelisti</t>
  </si>
  <si>
    <t>MODA VE TEKSTİL TASARIMCISI</t>
  </si>
  <si>
    <t>5332549396</t>
  </si>
  <si>
    <t>5259</t>
  </si>
  <si>
    <t>43417228674</t>
  </si>
  <si>
    <t>İREM</t>
  </si>
  <si>
    <t>GÜLTEKİN</t>
  </si>
  <si>
    <t>KAYABŞI MH. GÖKÇEADA CD. 2. BÖLGE AKARÇEŞME SİTESİ R23 BLOK</t>
  </si>
  <si>
    <t>5331903989</t>
  </si>
  <si>
    <t>5761</t>
  </si>
  <si>
    <t>64573032820</t>
  </si>
  <si>
    <t>FINDIK</t>
  </si>
  <si>
    <t>ATAKENT MH. 234. SK. MANOLYA SİTESİ C3-12 BLOK NO:14/41 K.ÇE</t>
  </si>
  <si>
    <t>5343458181</t>
  </si>
  <si>
    <t>7497</t>
  </si>
  <si>
    <t>27904304188</t>
  </si>
  <si>
    <t>İRFAN</t>
  </si>
  <si>
    <t>ATMACA</t>
  </si>
  <si>
    <t>CEMİL</t>
  </si>
  <si>
    <t>7306</t>
  </si>
  <si>
    <t>29633214684</t>
  </si>
  <si>
    <t>ELBİSTAN</t>
  </si>
  <si>
    <t>CEBECİ MAH 2573 SOK NO 3-5 D9 SULTANGAZİ İSTANBUL</t>
  </si>
  <si>
    <t>5448570846</t>
  </si>
  <si>
    <t>ÜTÜ PAKET DİKİM</t>
  </si>
  <si>
    <t>4672</t>
  </si>
  <si>
    <t>25778648490</t>
  </si>
  <si>
    <t>IŞIK</t>
  </si>
  <si>
    <t>ÇILDIR</t>
  </si>
  <si>
    <t>5318143056</t>
  </si>
  <si>
    <t>4722</t>
  </si>
  <si>
    <t>15392825476</t>
  </si>
  <si>
    <t>AYRANCIOĞLU</t>
  </si>
  <si>
    <t>1321.09</t>
  </si>
  <si>
    <t>Kalite Güvence Müdürü</t>
  </si>
  <si>
    <t>KALİTE GÜVENCE MÜDÜRÜ</t>
  </si>
  <si>
    <t>5352648486</t>
  </si>
  <si>
    <t>5539</t>
  </si>
  <si>
    <t>40273313384</t>
  </si>
  <si>
    <t>TÜRK</t>
  </si>
  <si>
    <t>ADNAN KAHVECİ MH. YAVUZ SULTAN SELİM BUL. ALACA APARTMANI BL</t>
  </si>
  <si>
    <t>1221.10</t>
  </si>
  <si>
    <t>İthalat-İhracat Müdürü</t>
  </si>
  <si>
    <t>İHRACAT MÜDÜRÜ</t>
  </si>
  <si>
    <t>5343112828</t>
  </si>
  <si>
    <t>6179</t>
  </si>
  <si>
    <t>12662091524</t>
  </si>
  <si>
    <t>KARAKOÇAN</t>
  </si>
  <si>
    <t>HAYDAR</t>
  </si>
  <si>
    <t>KOCASİNAN MERKEZ MAH. KÖSE SK. NO:11/47 BAHÇELİEVLER/İST</t>
  </si>
  <si>
    <t>1223.02</t>
  </si>
  <si>
    <t>Arge Şefi</t>
  </si>
  <si>
    <t>ARGE NUMUNE SORUMLUSU</t>
  </si>
  <si>
    <t>5437627551</t>
  </si>
  <si>
    <t>7508</t>
  </si>
  <si>
    <t>47377302856</t>
  </si>
  <si>
    <t>KAYABAŞI MAH. FENERTEPE CAD. 19N DAİRE 17 BAŞAKŞEHİR / İSTAN</t>
  </si>
  <si>
    <t>DOKUMA KUMAŞ SATIN ALMA ELEMANI</t>
  </si>
  <si>
    <t>5424903940</t>
  </si>
  <si>
    <t>6981</t>
  </si>
  <si>
    <t>46279788102</t>
  </si>
  <si>
    <t>KAFİYE</t>
  </si>
  <si>
    <t>GÜLLÜ</t>
  </si>
  <si>
    <t>HİDAYET</t>
  </si>
  <si>
    <t>İNÖNÜ MH. ÇİLEK SK. NO:33 / 1 KÜÇÜKÇEKMECE / İSTANBUL</t>
  </si>
  <si>
    <t>5446096552</t>
  </si>
  <si>
    <t>6616</t>
  </si>
  <si>
    <t>20903206798</t>
  </si>
  <si>
    <t>BERBER</t>
  </si>
  <si>
    <t>HALKALI MERKEZ MAH. NAR ÇİÇEĞİ SK. NO:12/4 KÜÇÜKÇEKMECE/İST</t>
  </si>
  <si>
    <t>FASON DİKİM SORUMLUSU</t>
  </si>
  <si>
    <t>5354306508</t>
  </si>
  <si>
    <t>4793</t>
  </si>
  <si>
    <t>10347031728</t>
  </si>
  <si>
    <t>MEHMET AKİF MH KEMAL PAŞA CD UĞURLU SK NO30 K. ÇEKMECE İST</t>
  </si>
  <si>
    <t>5378686567</t>
  </si>
  <si>
    <t>7098</t>
  </si>
  <si>
    <t>73459067832</t>
  </si>
  <si>
    <t>KİRAZLI MAH. 1054.SK ALÇİÇEK APT. NO:16 / 1 BAĞCILAR</t>
  </si>
  <si>
    <t>5359320156</t>
  </si>
  <si>
    <t>7325</t>
  </si>
  <si>
    <t>56305514278</t>
  </si>
  <si>
    <t>CANSIZ</t>
  </si>
  <si>
    <t>ANKARA</t>
  </si>
  <si>
    <t>KARADENİZ MAH 1214 SOK NO 35-37 D 7 GOP İST</t>
  </si>
  <si>
    <t>5374321309</t>
  </si>
  <si>
    <t>0327</t>
  </si>
  <si>
    <t>20450638356</t>
  </si>
  <si>
    <t>MARİA</t>
  </si>
  <si>
    <t>ARSLANOĞLU</t>
  </si>
  <si>
    <t>OARNELE CAPREİ</t>
  </si>
  <si>
    <t>STEFAN</t>
  </si>
  <si>
    <t>05393788967</t>
  </si>
  <si>
    <t>7495</t>
  </si>
  <si>
    <t>12609098432</t>
  </si>
  <si>
    <t>MARİANA</t>
  </si>
  <si>
    <t>TOMAİLİ</t>
  </si>
  <si>
    <t>MOLDOVA</t>
  </si>
  <si>
    <t>FİLİP</t>
  </si>
  <si>
    <t>YUNUS EMRE MAH. OKURLAR CAD. KİPTAŞ KONUTLARI NO:85 ESENYURT</t>
  </si>
  <si>
    <t>5304503711</t>
  </si>
  <si>
    <t>2629</t>
  </si>
  <si>
    <t>22796100658</t>
  </si>
  <si>
    <t>AHMETOĞLU</t>
  </si>
  <si>
    <t>B.KÖY</t>
  </si>
  <si>
    <t>3331.03</t>
  </si>
  <si>
    <t>İthalat-İhracat Meslek Elemanı</t>
  </si>
  <si>
    <t>İHRACAT PERSONELİ</t>
  </si>
  <si>
    <t>05358141345</t>
  </si>
  <si>
    <t>4330</t>
  </si>
  <si>
    <t>54190483464</t>
  </si>
  <si>
    <t>RENÇBER</t>
  </si>
  <si>
    <t>BEYPĞLU</t>
  </si>
  <si>
    <t>2145.03</t>
  </si>
  <si>
    <t>Kimya Mühendisi</t>
  </si>
  <si>
    <t>KİMYA MÜHENDİSİ</t>
  </si>
  <si>
    <t>05462171040</t>
  </si>
  <si>
    <t>6647</t>
  </si>
  <si>
    <t>54166409498</t>
  </si>
  <si>
    <t>BULUT</t>
  </si>
  <si>
    <t>HÜZNİ</t>
  </si>
  <si>
    <t>FATİH MAH. 1769. SK. ÖSNÜOĞULLARI BLOK NO:15/3 BAĞCILAR/İST.</t>
  </si>
  <si>
    <t>05359885881</t>
  </si>
  <si>
    <t>6658</t>
  </si>
  <si>
    <t>11099306188</t>
  </si>
  <si>
    <t>GARGIN</t>
  </si>
  <si>
    <t>KAZIM KARABEKİR MAH. 849. SK. NO:2/4 GAZİOSMANPAŞA/İST</t>
  </si>
  <si>
    <t>05357753265</t>
  </si>
  <si>
    <t>6670</t>
  </si>
  <si>
    <t>30088755646</t>
  </si>
  <si>
    <t>ŞENLİK</t>
  </si>
  <si>
    <t>GÜLBAHAR CD 15 TEMMUZ MH 1509 SK NO4/1 BAĞCILAR İST</t>
  </si>
  <si>
    <t>İPLİK GİRİŞ ÇIKIŞ KONTROL İŞÇİSİ</t>
  </si>
  <si>
    <t>05353147338</t>
  </si>
  <si>
    <t>6680</t>
  </si>
  <si>
    <t>30881309664</t>
  </si>
  <si>
    <t>KOCABAŞ</t>
  </si>
  <si>
    <t>ŞEVKİ</t>
  </si>
  <si>
    <t>KOCATEPE MAH. 20. SK. NO:54/4 BAYRAMPAŞA/İSTANBUL</t>
  </si>
  <si>
    <t>05333321170</t>
  </si>
  <si>
    <t>6963</t>
  </si>
  <si>
    <t>21031292998</t>
  </si>
  <si>
    <t>AKGÜN</t>
  </si>
  <si>
    <t>FATİH MAH. 1820. SK. NO:19/10 BAĞCILAR/İST.</t>
  </si>
  <si>
    <t>3341.13</t>
  </si>
  <si>
    <t>İdari İşler Şefi</t>
  </si>
  <si>
    <t>İDARİ İŞLER SORUMLUSU</t>
  </si>
  <si>
    <t>5333025014</t>
  </si>
  <si>
    <t>7318</t>
  </si>
  <si>
    <t>28444812744</t>
  </si>
  <si>
    <t>ŞEKER</t>
  </si>
  <si>
    <t>AZDAVAY</t>
  </si>
  <si>
    <t>MAHMUTBEY MAH KARAOĞLANOĞLU CAD 2597 SOK NO5 BAĞCILAR İSTANB</t>
  </si>
  <si>
    <t>5384325684</t>
  </si>
  <si>
    <t>6610</t>
  </si>
  <si>
    <t>10635139266</t>
  </si>
  <si>
    <t>MEHMET ŞAH</t>
  </si>
  <si>
    <t>ÖRTEŞ</t>
  </si>
  <si>
    <t>ATATÜRK MAH. 330. SK. NO:22/12 KÜÇÜKÇEKMECE/İSTANBUL</t>
  </si>
  <si>
    <t>05423521699</t>
  </si>
  <si>
    <t>6579</t>
  </si>
  <si>
    <t>56020014558</t>
  </si>
  <si>
    <t>MEHTAP</t>
  </si>
  <si>
    <t>ÇELİKKOL</t>
  </si>
  <si>
    <t>ZİYA</t>
  </si>
  <si>
    <t>KARADOLAP MAH. GÜL SK. KAYA APT. NO:12/7 EYÜPSULTAN/İST</t>
  </si>
  <si>
    <t>İTHALAT-İHRACAT SORUMLUSU</t>
  </si>
  <si>
    <t>5378689102</t>
  </si>
  <si>
    <t>6866</t>
  </si>
  <si>
    <t>10481987424</t>
  </si>
  <si>
    <t>MELİSA</t>
  </si>
  <si>
    <t>İNÖNÜ MAH. CENK CAD. NO:9/7 K.ÇEKMECE/İST.</t>
  </si>
  <si>
    <t>DOKUMA MODELİST YARDIMCISI</t>
  </si>
  <si>
    <t>5317960431</t>
  </si>
  <si>
    <t>6735</t>
  </si>
  <si>
    <t>63130249862</t>
  </si>
  <si>
    <t>AYER</t>
  </si>
  <si>
    <t>KARADORUK</t>
  </si>
  <si>
    <t>05377719085</t>
  </si>
  <si>
    <t>7512</t>
  </si>
  <si>
    <t>29464899012</t>
  </si>
  <si>
    <t>MERVE</t>
  </si>
  <si>
    <t>ERGİN</t>
  </si>
  <si>
    <t xml:space="preserve">BAKIRKÖY </t>
  </si>
  <si>
    <t>ORUÇRESİ MAH. 536. SK. ÇELİK APT. NO:23/9 ESENLER / İSTANBUL</t>
  </si>
  <si>
    <t>5380229952</t>
  </si>
  <si>
    <t>5650</t>
  </si>
  <si>
    <t>40978927220</t>
  </si>
  <si>
    <t>MUHAMMED</t>
  </si>
  <si>
    <t>MUSLU</t>
  </si>
  <si>
    <t>FEDLİ</t>
  </si>
  <si>
    <t>MAHMUTBEY MH. 2594. SK. NO:1-9 KAT:10 D:47 BAĞCILAR/İST</t>
  </si>
  <si>
    <t>1212.03</t>
  </si>
  <si>
    <t>İnsan Kaynakları Müdürü</t>
  </si>
  <si>
    <t>İNSAN KAYNAKLARI SORUMLUSU</t>
  </si>
  <si>
    <t>5332349845</t>
  </si>
  <si>
    <t>6144</t>
  </si>
  <si>
    <t>67132024960</t>
  </si>
  <si>
    <t>MUHARREM</t>
  </si>
  <si>
    <t>ÖZ</t>
  </si>
  <si>
    <t>TURGUT REİS MAH. 438. SK. ALTUN APT. BLOK NO:10/1 ESENLER</t>
  </si>
  <si>
    <t>5386114640</t>
  </si>
  <si>
    <t>3933</t>
  </si>
  <si>
    <t>43759851158</t>
  </si>
  <si>
    <t>MUHTEŞEM</t>
  </si>
  <si>
    <t>2163.33</t>
  </si>
  <si>
    <t>Arge Elemanı</t>
  </si>
  <si>
    <t>NUMUNE PERSONELİ</t>
  </si>
  <si>
    <t>05449267202</t>
  </si>
  <si>
    <t>5182</t>
  </si>
  <si>
    <t>34936854192</t>
  </si>
  <si>
    <t>GÖRMEZ</t>
  </si>
  <si>
    <t>1112.05</t>
  </si>
  <si>
    <t>Genel Müdür-Kamu</t>
  </si>
  <si>
    <t>5330550960</t>
  </si>
  <si>
    <t>6592</t>
  </si>
  <si>
    <t>29338882676</t>
  </si>
  <si>
    <t>İSTER</t>
  </si>
  <si>
    <t>YILDIZ TEPE MAH. 548. SK. NURGÜL APT. NO:9/4 BAĞCILAR/İST</t>
  </si>
  <si>
    <t>5356892530</t>
  </si>
  <si>
    <t>7501</t>
  </si>
  <si>
    <t>35447129274</t>
  </si>
  <si>
    <t>BOLUT</t>
  </si>
  <si>
    <t>KARADENİZ MAH. 1164. SK. NO:3/1 İÇ KAPI NO:3 GAZİOSMANPAŞA</t>
  </si>
  <si>
    <t>DOKUMA ÜTÜCÜ</t>
  </si>
  <si>
    <t>5377053462</t>
  </si>
  <si>
    <t>7505</t>
  </si>
  <si>
    <t>45067383130</t>
  </si>
  <si>
    <t>GÜRE</t>
  </si>
  <si>
    <t>SÜMBÜL EFENDİ MH ESKİ SARAYÖNÜ ÇIKMAZI SK NO 2/2 FATH İST</t>
  </si>
  <si>
    <t>DOKUMA KESİMCİ</t>
  </si>
  <si>
    <t>5539815714</t>
  </si>
  <si>
    <t>3005</t>
  </si>
  <si>
    <t>12181588598</t>
  </si>
  <si>
    <t>YÜCEL</t>
  </si>
  <si>
    <t>05326127452</t>
  </si>
  <si>
    <t>4070</t>
  </si>
  <si>
    <t>44668821188</t>
  </si>
  <si>
    <t>TÜRKMAN</t>
  </si>
  <si>
    <t>05357438135</t>
  </si>
  <si>
    <t>6635</t>
  </si>
  <si>
    <t>11321919940</t>
  </si>
  <si>
    <t>YAĞCI</t>
  </si>
  <si>
    <t>15 TEMMUZ MAH. 1486. SK. NO:38/4 BAĞCILAR/İSTANBUL</t>
  </si>
  <si>
    <t>PARÇA BOYA TAKİP</t>
  </si>
  <si>
    <t>05353238556</t>
  </si>
  <si>
    <t>7655</t>
  </si>
  <si>
    <t>26770669520</t>
  </si>
  <si>
    <t>MENDUH</t>
  </si>
  <si>
    <t>5433870362</t>
  </si>
  <si>
    <t>6998</t>
  </si>
  <si>
    <t>25459145386</t>
  </si>
  <si>
    <t>NAGİHAN</t>
  </si>
  <si>
    <t>ÖNDER</t>
  </si>
  <si>
    <t>TASOVA</t>
  </si>
  <si>
    <t>KARTALTEPE MAH. ŞEHİT ÜSTEĞMEN TARIK KOÇOĞLU SK YENİ SİTESİ</t>
  </si>
  <si>
    <t>05365609783</t>
  </si>
  <si>
    <t>6041</t>
  </si>
  <si>
    <t>27983057630</t>
  </si>
  <si>
    <t>NAZAN</t>
  </si>
  <si>
    <t>OYNAR</t>
  </si>
  <si>
    <t>DENİZ ÜLKER</t>
  </si>
  <si>
    <t>ATAKENT MH. AKASYA SK. 3. ETAP SİTESİ A-39 BLOK NO:3F/2 K.ÇE</t>
  </si>
  <si>
    <t>2413.09</t>
  </si>
  <si>
    <t>Finans Uzmanıı</t>
  </si>
  <si>
    <t>FİNANS UZMANI</t>
  </si>
  <si>
    <t>5069845134</t>
  </si>
  <si>
    <t>5419</t>
  </si>
  <si>
    <t>36394647248</t>
  </si>
  <si>
    <t>NERİMAN</t>
  </si>
  <si>
    <t>HÜRRİYET MH. 80. SK. NO:2/3 BAĞICLAR / İST.</t>
  </si>
  <si>
    <t>5369396206</t>
  </si>
  <si>
    <t>0360</t>
  </si>
  <si>
    <t>36505403602</t>
  </si>
  <si>
    <t>NERMİN</t>
  </si>
  <si>
    <t>DEMİRKAPI MH 1732 SK NO26-28 D2 BAĞCILAR</t>
  </si>
  <si>
    <t>5302873839</t>
  </si>
  <si>
    <t>6572</t>
  </si>
  <si>
    <t>33665329490</t>
  </si>
  <si>
    <t>NESLİHAN</t>
  </si>
  <si>
    <t>PAKSOY</t>
  </si>
  <si>
    <t>SORGUN</t>
  </si>
  <si>
    <t>ATATÜRK MAH. DİVAN SK. NO:17/11 KÜÇÜKÇEKMECE/İST</t>
  </si>
  <si>
    <t>05453121923</t>
  </si>
  <si>
    <t>6923</t>
  </si>
  <si>
    <t>33310775436</t>
  </si>
  <si>
    <t>NİLAY</t>
  </si>
  <si>
    <t>YENİMAHALLE MAH. 1. ÇAĞLAYAN SK.SESİGÜR APT. NO:9/1 K.ÇEKMEC</t>
  </si>
  <si>
    <t>5544610951</t>
  </si>
  <si>
    <t>6015</t>
  </si>
  <si>
    <t>43564829540</t>
  </si>
  <si>
    <t>NİLÜFER</t>
  </si>
  <si>
    <t>AYDEMİR ASLAN</t>
  </si>
  <si>
    <t>ATAKENT MH. 226. ÇIKMAZ SK. KARDELEN SİTESİ BLOK NO:2G/21 K.</t>
  </si>
  <si>
    <t>5324950593</t>
  </si>
  <si>
    <t>6727</t>
  </si>
  <si>
    <t>40714302472</t>
  </si>
  <si>
    <t>NİYAZİ</t>
  </si>
  <si>
    <t>EYNESIL</t>
  </si>
  <si>
    <t>KİRAZLI MAH. 1110. SK. NO:45/7 BAĞCILAR/İSTANBUL</t>
  </si>
  <si>
    <t>5414.02</t>
  </si>
  <si>
    <t>Güvenlik Görevlisi</t>
  </si>
  <si>
    <t>05362443430</t>
  </si>
  <si>
    <t>6048</t>
  </si>
  <si>
    <t>10835154298</t>
  </si>
  <si>
    <t>ÇOBANÇEŞME MH. MİMARSİNAN 1 SK. AKA ÇAKIR AP 18/3 B.EVLER</t>
  </si>
  <si>
    <t>5305818068</t>
  </si>
  <si>
    <t>6096</t>
  </si>
  <si>
    <t>10304961778</t>
  </si>
  <si>
    <t>NURTEN</t>
  </si>
  <si>
    <t>ADALI</t>
  </si>
  <si>
    <t>KARASU</t>
  </si>
  <si>
    <t>ADİL</t>
  </si>
  <si>
    <t>KOCASİNAN MERKEZ MAH. ÜLKÜ 1 SK. KORKMAZ APT. BLOK NO:14/8</t>
  </si>
  <si>
    <t>KALİTE KONTROL SORUMLUSU</t>
  </si>
  <si>
    <t>5323405914</t>
  </si>
  <si>
    <t>5178</t>
  </si>
  <si>
    <t>26030436824</t>
  </si>
  <si>
    <t>OKAN</t>
  </si>
  <si>
    <t>KOLAÇ</t>
  </si>
  <si>
    <t>FİKRET</t>
  </si>
  <si>
    <t>HAVAALANI MH. GÜLDÜRÜ SK. NO:20/3 ESENLER/İST.</t>
  </si>
  <si>
    <t>5343802494</t>
  </si>
  <si>
    <t>7293</t>
  </si>
  <si>
    <t>43702022314</t>
  </si>
  <si>
    <t>PEÇENEK</t>
  </si>
  <si>
    <t>DİYARBAKIR</t>
  </si>
  <si>
    <t>MEHMET AKİF MAH. EMRE SK. NO:62/6 KÜÇÜKÇEKMECE / İSTANBUL</t>
  </si>
  <si>
    <t>5465271601</t>
  </si>
  <si>
    <t>7583</t>
  </si>
  <si>
    <t>52660768134</t>
  </si>
  <si>
    <t>KARABÜK</t>
  </si>
  <si>
    <t>HALKALI MERKEZ MAH. 1. KARADUT SOK. NO: 11/1-11 K.ÇEKMECE/İS</t>
  </si>
  <si>
    <t>BOYAMA-YIKAMA MAKİNESİ OPERATÖRÜ</t>
  </si>
  <si>
    <t>5374536255</t>
  </si>
  <si>
    <t>4056</t>
  </si>
  <si>
    <t>05424847404</t>
  </si>
  <si>
    <t>5887</t>
  </si>
  <si>
    <t>11409127106</t>
  </si>
  <si>
    <t>AĞAKİŞİ</t>
  </si>
  <si>
    <t>CELİL</t>
  </si>
  <si>
    <t>ORUÇREİS MH. 615. SK. NO:27/1 ESENLER / İSTANBUL</t>
  </si>
  <si>
    <t>5308719964</t>
  </si>
  <si>
    <t>7440</t>
  </si>
  <si>
    <t>31592243896</t>
  </si>
  <si>
    <t>OSMAN BERKAY</t>
  </si>
  <si>
    <t>6481</t>
  </si>
  <si>
    <t>50983492224</t>
  </si>
  <si>
    <t>15 TEMMUZ MAH. ŞEHİT MURAT KARAYAZI SK. NO:34A BAĞCILAR/İST</t>
  </si>
  <si>
    <t>5417660028</t>
  </si>
  <si>
    <t>2238</t>
  </si>
  <si>
    <t>33061688634</t>
  </si>
  <si>
    <t>VAROLA</t>
  </si>
  <si>
    <t>SİİRT</t>
  </si>
  <si>
    <t>ENİS</t>
  </si>
  <si>
    <t>KAZIMKARABEKİR MH 1009 SK NO4 D6 ESENLER İST</t>
  </si>
  <si>
    <t>05377183226</t>
  </si>
  <si>
    <t>7361</t>
  </si>
  <si>
    <t>27716323292</t>
  </si>
  <si>
    <t>GÜLDAĞ</t>
  </si>
  <si>
    <t>VARTO</t>
  </si>
  <si>
    <t>GAZİ MAH 1411 SOK BİRLİK APT NO 41 D 10 SULTANGAZİ İST</t>
  </si>
  <si>
    <t>5339254011</t>
  </si>
  <si>
    <t>6482</t>
  </si>
  <si>
    <t>43927397228</t>
  </si>
  <si>
    <t>DEMİRKAPI MAH. 1624. SK. GÜN APT. NO:6/2 BAĞCILAR/İST</t>
  </si>
  <si>
    <t>5439471839</t>
  </si>
  <si>
    <t>3667</t>
  </si>
  <si>
    <t>62074276194</t>
  </si>
  <si>
    <t>SİNOP</t>
  </si>
  <si>
    <t>05395814203</t>
  </si>
  <si>
    <t>5863</t>
  </si>
  <si>
    <t>30014343244</t>
  </si>
  <si>
    <t>CUMHURİYET MH. ATATÜRK BL. BİZİMKENT İSTESİ A-18 BLOK NO:12O</t>
  </si>
  <si>
    <t>7316.06</t>
  </si>
  <si>
    <t>Boyacı (Fırça İle) (İnşaat Hariç)</t>
  </si>
  <si>
    <t>BOYACI</t>
  </si>
  <si>
    <t>5386488878</t>
  </si>
  <si>
    <t>7305</t>
  </si>
  <si>
    <t>35087140806</t>
  </si>
  <si>
    <t>GÜLERYÜZ</t>
  </si>
  <si>
    <t>TURGUT REİS MAH 524 SOK NO:9 D:8 ESENLER İSTANBUL</t>
  </si>
  <si>
    <t>5438260295</t>
  </si>
  <si>
    <t>5522</t>
  </si>
  <si>
    <t>21853838176</t>
  </si>
  <si>
    <t>ISPIR</t>
  </si>
  <si>
    <t>DEMİRKAPI MH. BAĞCILAR ASFALTI CD. NO:103/3 BAĞCILAR/İST</t>
  </si>
  <si>
    <t>5364921138</t>
  </si>
  <si>
    <t>7104</t>
  </si>
  <si>
    <t>16769759134</t>
  </si>
  <si>
    <t>ÖZKURT</t>
  </si>
  <si>
    <t>ADEM</t>
  </si>
  <si>
    <t>MEHMET AKİF MAH. HAZAR SK. NO:19/8 KÜÇÜKÇEKMECE/İST</t>
  </si>
  <si>
    <t>5315256066</t>
  </si>
  <si>
    <t>7584</t>
  </si>
  <si>
    <t>28175183724</t>
  </si>
  <si>
    <t>KILCI</t>
  </si>
  <si>
    <t>FEVZİ ÇAKMAK MAH. 2057. SK. NO: 3/4 BAĞCILAR/İST</t>
  </si>
  <si>
    <t>05369630357</t>
  </si>
  <si>
    <t>3281</t>
  </si>
  <si>
    <t>27244852554</t>
  </si>
  <si>
    <t>SAMET</t>
  </si>
  <si>
    <t>GÖKAHMET</t>
  </si>
  <si>
    <t>EYÜP</t>
  </si>
  <si>
    <t>05326132298</t>
  </si>
  <si>
    <t>6649</t>
  </si>
  <si>
    <t>39110007258</t>
  </si>
  <si>
    <t>ELİBOL</t>
  </si>
  <si>
    <t>VEYSEL</t>
  </si>
  <si>
    <t>ORUÇREİS MAH. 565. SK. NO:54/3 ESENLER/İSTANBUL</t>
  </si>
  <si>
    <t>05388186766</t>
  </si>
  <si>
    <t>6687</t>
  </si>
  <si>
    <t>56284285336</t>
  </si>
  <si>
    <t>ERDEM</t>
  </si>
  <si>
    <t>IĞDIR</t>
  </si>
  <si>
    <t>İNÖNÜ MAH. 387. SK. MURAT APT. NO:4/4 BAĞCILAR/İSTANBUL</t>
  </si>
  <si>
    <t>5357624090</t>
  </si>
  <si>
    <t>6166</t>
  </si>
  <si>
    <t>56185636268</t>
  </si>
  <si>
    <t>SEDA</t>
  </si>
  <si>
    <t>TAŞÇİ</t>
  </si>
  <si>
    <t>GÖLE</t>
  </si>
  <si>
    <t>REŞAT</t>
  </si>
  <si>
    <t>İNÖNÜ MAH. 353. SK. ŞAHIN APT. BLOK NO:5/3 ESENYURT/İSTANBUL</t>
  </si>
  <si>
    <t>5348854559</t>
  </si>
  <si>
    <t>5252</t>
  </si>
  <si>
    <t>41086278556</t>
  </si>
  <si>
    <t>SEDANUR</t>
  </si>
  <si>
    <t>KUBULAY</t>
  </si>
  <si>
    <t>ÇOBANÇEŞME MH ZEMBİLCİ SK NO:17/2 B.EVLER/İST</t>
  </si>
  <si>
    <t>5366578244</t>
  </si>
  <si>
    <t>7261</t>
  </si>
  <si>
    <t>63247164812</t>
  </si>
  <si>
    <t>SELVİ</t>
  </si>
  <si>
    <t>OĞURLU</t>
  </si>
  <si>
    <t>FATİH MH. 294. SK. KAYAKARDEŞLERR APT. BLOK NO:8/6 ESENLER</t>
  </si>
  <si>
    <t>5074134976</t>
  </si>
  <si>
    <t>4108</t>
  </si>
  <si>
    <t>22811147668</t>
  </si>
  <si>
    <t>CANBAZ</t>
  </si>
  <si>
    <t>05368494359</t>
  </si>
  <si>
    <t>7489</t>
  </si>
  <si>
    <t>35386739374</t>
  </si>
  <si>
    <t>SEMİHA</t>
  </si>
  <si>
    <t>ELİM</t>
  </si>
  <si>
    <t>15 TEMMUZ MAH. 1385. SK. NO:17 / 5 BAĞCILAR / İSTANBUL</t>
  </si>
  <si>
    <t>PLANLAMA ELEMANI</t>
  </si>
  <si>
    <t>5535969048</t>
  </si>
  <si>
    <t>6958</t>
  </si>
  <si>
    <t>26437996792</t>
  </si>
  <si>
    <t>SENA GİZEM</t>
  </si>
  <si>
    <t>KONUK</t>
  </si>
  <si>
    <t>ÖĞÜN</t>
  </si>
  <si>
    <t>KANARYA MAH. İSPİNOZ SK. NO:116/3 K.ÇEKMECE/İST.</t>
  </si>
  <si>
    <t>5456782062</t>
  </si>
  <si>
    <t>6926</t>
  </si>
  <si>
    <t>38341750742</t>
  </si>
  <si>
    <t>SERHAT</t>
  </si>
  <si>
    <t>DURMAZ</t>
  </si>
  <si>
    <t>ŞİRİNEVLER MAH. MAHMUTBEY SK. NO:26/4 BAHÇELİEVLER/İST.</t>
  </si>
  <si>
    <t>5348328688</t>
  </si>
  <si>
    <t>1776</t>
  </si>
  <si>
    <t>28487397468</t>
  </si>
  <si>
    <t>TÜRKELİ</t>
  </si>
  <si>
    <t>05355449077</t>
  </si>
  <si>
    <t>5738</t>
  </si>
  <si>
    <t>12835546936</t>
  </si>
  <si>
    <t>BARBOROS MH. 215. SK. BLOK NO:15 / 2 BAĞCILAR/İST.</t>
  </si>
  <si>
    <t>5327647137</t>
  </si>
  <si>
    <t>7586</t>
  </si>
  <si>
    <t>56263633622</t>
  </si>
  <si>
    <t>SEVDA</t>
  </si>
  <si>
    <t>5353812906</t>
  </si>
  <si>
    <t>7646</t>
  </si>
  <si>
    <t>31519927434</t>
  </si>
  <si>
    <t>SEZGİN</t>
  </si>
  <si>
    <t>YUNUS EMRE MAH. 393. SK. NO:1/8 ESENYURT / İSTANBUL</t>
  </si>
  <si>
    <t>7172</t>
  </si>
  <si>
    <t>25225382694</t>
  </si>
  <si>
    <t>SIRACETTİN</t>
  </si>
  <si>
    <t>FATİH MAH.1839. SK NO:15 / 9 BAĞCILAR / İSTANBUL</t>
  </si>
  <si>
    <t>05365999213</t>
  </si>
  <si>
    <t>4499</t>
  </si>
  <si>
    <t>14804180714</t>
  </si>
  <si>
    <t>TİREBOLU</t>
  </si>
  <si>
    <t>TURGUT REİS MH 420 SK NO20 ESENLER İST</t>
  </si>
  <si>
    <t>05363774911</t>
  </si>
  <si>
    <t>7502</t>
  </si>
  <si>
    <t>10449101336</t>
  </si>
  <si>
    <t>ŞAKİR</t>
  </si>
  <si>
    <t xml:space="preserve">SARIKAYA </t>
  </si>
  <si>
    <t xml:space="preserve">ABİDİN </t>
  </si>
  <si>
    <t>15 TEMMUZ MH. FEVZİ ÇAKMAK CD. 1403 SK. NO:3 / 3 BAĞCILAR/İS</t>
  </si>
  <si>
    <t>5397133238</t>
  </si>
  <si>
    <t>4046</t>
  </si>
  <si>
    <t>32218598086</t>
  </si>
  <si>
    <t>ŞEMSETTİN</t>
  </si>
  <si>
    <t>YAVUZ</t>
  </si>
  <si>
    <t>ŞEBİNKARAHİSAR</t>
  </si>
  <si>
    <t>100. YIL MH 2163 SK NO16 D1 BAĞCILAR İST</t>
  </si>
  <si>
    <t>05333115941</t>
  </si>
  <si>
    <t>6146</t>
  </si>
  <si>
    <t>13034694886</t>
  </si>
  <si>
    <t>KARATEKİN</t>
  </si>
  <si>
    <t>PUTURGE</t>
  </si>
  <si>
    <t>FATİH MAH. 261. SK. NO:4/5 ESENLER/İSTANBUL</t>
  </si>
  <si>
    <t>5396820943</t>
  </si>
  <si>
    <t>7626</t>
  </si>
  <si>
    <t>56863443706</t>
  </si>
  <si>
    <t>ŞÜKRAN</t>
  </si>
  <si>
    <t>ATAKENT MAH. 242. SK. B4 BLOK NO:6/3 İÇ KAPI NO:23 KÜÇÜKÇEKM</t>
  </si>
  <si>
    <t>MODELHANE SORUMLUSU</t>
  </si>
  <si>
    <t>TANER</t>
  </si>
  <si>
    <t>BASKI NAKIŞ</t>
  </si>
  <si>
    <t>6814</t>
  </si>
  <si>
    <t>12515240864</t>
  </si>
  <si>
    <t>PARMAK</t>
  </si>
  <si>
    <t>KAYABAŞI MH. ŞEHİT MUSTAFA GENCEL SK. NO:2/46 BAŞAKŞEHİR/İST</t>
  </si>
  <si>
    <t>5330456897</t>
  </si>
  <si>
    <t>6698</t>
  </si>
  <si>
    <t>54058495134</t>
  </si>
  <si>
    <t>15 TEMMUZ MAH. 1450. SK. NO:20/6 BAĞCILAR/İSTANBUL</t>
  </si>
  <si>
    <t>05325485267</t>
  </si>
  <si>
    <t>7287</t>
  </si>
  <si>
    <t>64891028536</t>
  </si>
  <si>
    <t>TEYMUR</t>
  </si>
  <si>
    <t>ÖĞMEN</t>
  </si>
  <si>
    <t>MÜNİR</t>
  </si>
  <si>
    <t>15 temmuz mah. 1391.sk no:20/11 bağcılar / istanbul</t>
  </si>
  <si>
    <t>DEPO SEVKİYAT GÖREVLİSİ</t>
  </si>
  <si>
    <t>5439008383</t>
  </si>
  <si>
    <t>6983</t>
  </si>
  <si>
    <t>6217</t>
  </si>
  <si>
    <t>46873718970</t>
  </si>
  <si>
    <t>ÜNSAL</t>
  </si>
  <si>
    <t>HUSAMETTIN</t>
  </si>
  <si>
    <t>KEMALPAŞA MAH. 1922. SK. KAYA APT. N0:54/3 BAĞCILAR</t>
  </si>
  <si>
    <t>5522530952</t>
  </si>
  <si>
    <t>7493</t>
  </si>
  <si>
    <t>22898125412</t>
  </si>
  <si>
    <t>YAĞMUR</t>
  </si>
  <si>
    <t>KOŞAK</t>
  </si>
  <si>
    <t>YAKUPLU MAH. FATİH SULTAN MEHMET CAD. YAKUTLU EVLERİ SİTESİ</t>
  </si>
  <si>
    <t>TASARIM ASİSTANI</t>
  </si>
  <si>
    <t>5325241405</t>
  </si>
  <si>
    <t>1183</t>
  </si>
  <si>
    <t>32929474358</t>
  </si>
  <si>
    <t>YAKUP</t>
  </si>
  <si>
    <t>ÇİMEN</t>
  </si>
  <si>
    <t>HÜSAMETTİN</t>
  </si>
  <si>
    <t>05372704059</t>
  </si>
  <si>
    <t>7359</t>
  </si>
  <si>
    <t>24727630012</t>
  </si>
  <si>
    <t>BİSMİL</t>
  </si>
  <si>
    <t>DERVİŞ</t>
  </si>
  <si>
    <t>ÇINAR MAH. 759. SOK. GÜNAYDIN APT. NO 48 D 5 BAĞCILAR İST</t>
  </si>
  <si>
    <t>5399631689</t>
  </si>
  <si>
    <t>7503</t>
  </si>
  <si>
    <t>32611797444</t>
  </si>
  <si>
    <t>ŞAHAN</t>
  </si>
  <si>
    <t>DEVELİ</t>
  </si>
  <si>
    <t>GÜVERCİNTEPE MAH. GÜL SK. NO:59/8 BAŞAKŞEHİR/İST</t>
  </si>
  <si>
    <t>5342362704</t>
  </si>
  <si>
    <t>4057</t>
  </si>
  <si>
    <t>31670188958</t>
  </si>
  <si>
    <t>MUŞ</t>
  </si>
  <si>
    <t>KAZIM</t>
  </si>
  <si>
    <t>TURGUT REİS MH 495 SK NO 31/29 ESENLER İST</t>
  </si>
  <si>
    <t>05396409885</t>
  </si>
  <si>
    <t>7449</t>
  </si>
  <si>
    <t>51349557830</t>
  </si>
  <si>
    <t>MEHMET AKİF MAH. 1. SANCAK SOK. NO:20/1 K.ÇEKMECE/İST</t>
  </si>
  <si>
    <t>5456116601</t>
  </si>
  <si>
    <t>SC AKSESUAR SAN. VE TİC. A.Ş</t>
  </si>
  <si>
    <t>SC AKSESUAR SAN. VE TİC. A.Ş.</t>
  </si>
  <si>
    <t>Personel</t>
  </si>
  <si>
    <t>3793</t>
  </si>
  <si>
    <t>32332073452</t>
  </si>
  <si>
    <t>BERKANT</t>
  </si>
  <si>
    <t>BEREKET</t>
  </si>
  <si>
    <t>REMZİ</t>
  </si>
  <si>
    <t>AKSESUAR DEPO ELEMANI</t>
  </si>
  <si>
    <t>05307329031</t>
  </si>
  <si>
    <t>UZUNOĞLU</t>
  </si>
  <si>
    <t>4090</t>
  </si>
  <si>
    <t>31640242260</t>
  </si>
  <si>
    <t>SERENAY</t>
  </si>
  <si>
    <t>05324357152</t>
  </si>
  <si>
    <t>TC NO</t>
  </si>
  <si>
    <t>İzin Günü</t>
  </si>
  <si>
    <t>İş Başı Tarihi:</t>
  </si>
  <si>
    <t>Doğum Tarihi:</t>
  </si>
  <si>
    <t>Toplam İzin Hakediş:</t>
  </si>
  <si>
    <t>Toplam Kullanılan İzin:</t>
  </si>
  <si>
    <t>Kalan İzin:</t>
  </si>
  <si>
    <t>İMZA</t>
  </si>
  <si>
    <t>Muvafakatname İzin Kaydı Yapılmadan Önce Alınması Gerekmektedir</t>
  </si>
  <si>
    <t/>
  </si>
  <si>
    <t>Çalışanın :</t>
  </si>
  <si>
    <t>YILLIK ÜCRETLİ İZİN CETVELİ</t>
  </si>
  <si>
    <t>Adı-Soyadı :</t>
  </si>
  <si>
    <t>Sicil No:</t>
  </si>
  <si>
    <t>İşe giriş tarihi:</t>
  </si>
  <si>
    <t xml:space="preserve">Bir yıl önceki </t>
  </si>
  <si>
    <t xml:space="preserve">                                                                             Bir yıllık çalışma süresi bakımından kesilmeler</t>
  </si>
  <si>
    <t>YILLAR</t>
  </si>
  <si>
    <t>izin hakkını</t>
  </si>
  <si>
    <t>Hastalık</t>
  </si>
  <si>
    <t>Askerlik</t>
  </si>
  <si>
    <t>Zorunluluk</t>
  </si>
  <si>
    <t>Devamsızlık</t>
  </si>
  <si>
    <t>Hizmete</t>
  </si>
  <si>
    <t>Diğer</t>
  </si>
  <si>
    <t>İzne hak</t>
  </si>
  <si>
    <t>İşyerindeki</t>
  </si>
  <si>
    <t xml:space="preserve">İzin </t>
  </si>
  <si>
    <t>Yol</t>
  </si>
  <si>
    <t>İzne</t>
  </si>
  <si>
    <t>İzinden</t>
  </si>
  <si>
    <t>Çalışanın</t>
  </si>
  <si>
    <t>kullandığı</t>
  </si>
  <si>
    <t>Gün</t>
  </si>
  <si>
    <t>Hali</t>
  </si>
  <si>
    <t>ara verme</t>
  </si>
  <si>
    <t>nedenler</t>
  </si>
  <si>
    <t>kazandığı</t>
  </si>
  <si>
    <t>kıdemi</t>
  </si>
  <si>
    <t>süresi</t>
  </si>
  <si>
    <t>izni</t>
  </si>
  <si>
    <t>başladığı</t>
  </si>
  <si>
    <t>dönüş</t>
  </si>
  <si>
    <t>Düşünceler</t>
  </si>
  <si>
    <t>İmzası</t>
  </si>
  <si>
    <t>tarih</t>
  </si>
  <si>
    <t>tarihi</t>
  </si>
  <si>
    <t xml:space="preserve">NOT:  1- İlk defa yıllık ücretli izin hakkından faydalandırılanlar için (Bir yıl önceki izin hakkını kulandığı tarih) sütunu boş bırakılacaktır. </t>
  </si>
  <si>
    <t>Kurban Bayramı</t>
  </si>
  <si>
    <t>Ramazan Bayramı</t>
  </si>
  <si>
    <t>MAVİ ALANA İZİN CETVELİNİ YAZDIRMAK İSTEDİĞİNİZ TARİHİ GİRİNİZ</t>
  </si>
  <si>
    <t>7671</t>
  </si>
  <si>
    <t>YENİMAHALLE MAH. ŞEHİT GÜNTAY POLAT SK. NO:7B/41 BAĞCILAR/İS</t>
  </si>
  <si>
    <t>7665</t>
  </si>
  <si>
    <t>42379812488</t>
  </si>
  <si>
    <t>FATİH MAH. HAMDİYE CAD. NO:16/6 ESENLER / İSTANBUL</t>
  </si>
  <si>
    <t>5380948329</t>
  </si>
  <si>
    <t>7670</t>
  </si>
  <si>
    <t>18032287764</t>
  </si>
  <si>
    <t>ÖZGÜL NURSEMA</t>
  </si>
  <si>
    <t>TUAÇ</t>
  </si>
  <si>
    <t>ALİ SÜHEYL</t>
  </si>
  <si>
    <t>KOCASİNAN MERKEZ MAH. OKTAY SK. ÖZTÜRK APT. NO7/6 BAHÇELİEVL</t>
  </si>
  <si>
    <t>2423.01</t>
  </si>
  <si>
    <t>İnsan Kaynakları Uzmanı</t>
  </si>
  <si>
    <t>İNSAN KAYNAKLARI UZMANI</t>
  </si>
  <si>
    <t>5331373609</t>
  </si>
  <si>
    <t>7679</t>
  </si>
  <si>
    <t>58681522298</t>
  </si>
  <si>
    <t>BAYBURT</t>
  </si>
  <si>
    <t>CENGİZ</t>
  </si>
  <si>
    <t>TEVFİKBEY MAH. REŞİT SK. NO:26-28/3 KÜÇÜKÇEKMECE/İST.</t>
  </si>
  <si>
    <t>5376366569</t>
  </si>
  <si>
    <t>7682</t>
  </si>
  <si>
    <t>71998041122</t>
  </si>
  <si>
    <t>ONUR</t>
  </si>
  <si>
    <t>URAL</t>
  </si>
  <si>
    <t>KİRAZLI MAH. 1146. SK. ŞENEL APT. NO:26/1 BAĞCILAR/İST</t>
  </si>
  <si>
    <t>5469324701</t>
  </si>
  <si>
    <t>7683</t>
  </si>
  <si>
    <t>30142358264</t>
  </si>
  <si>
    <t>NAZİFE</t>
  </si>
  <si>
    <t>ERDEMOĞLU SERT</t>
  </si>
  <si>
    <t>ILGAZ</t>
  </si>
  <si>
    <t>FATİH MAH. 249. SK. NO:2/5 ESENLER/İSTANBUL</t>
  </si>
  <si>
    <t>5366287775</t>
  </si>
  <si>
    <t>7692</t>
  </si>
  <si>
    <t>53284567820</t>
  </si>
  <si>
    <t>HAMİDE</t>
  </si>
  <si>
    <t>ORUÇREİS MAH. 615. SK. NO:36-38 / 13 ESENLER/İSTANBUL</t>
  </si>
  <si>
    <t>5395838129</t>
  </si>
  <si>
    <t>SANCAKTEPE MAH. 917. SK. NO:30/2 BAĞCILAR/İST.</t>
  </si>
  <si>
    <t>BAĞLARBAŞI MAH. KEÇEYOLU SK. YASEMİN APT.NO:47/15 G.O.P/İST.</t>
  </si>
  <si>
    <t>50. YIL MAH. 2223. SK. NO:4/9 SULTANGAZİ/İST.</t>
  </si>
  <si>
    <t>MERKEZ MAH. ASYA SK. NO:6/3 AVCILAR/İST.</t>
  </si>
  <si>
    <t>ATAKENT MAH. 222. CAD. AVRUPA KONUTLARI-1 SİT. NO:2AE/11</t>
  </si>
  <si>
    <t>TEKİNER</t>
  </si>
  <si>
    <t>GÜVERCİNTEPE MAH. ŞEN SK. NO:39/7 BAŞAKŞEHİR/İSTANBUL</t>
  </si>
  <si>
    <t>7681</t>
  </si>
  <si>
    <t>16298705480</t>
  </si>
  <si>
    <t>KÜBRA</t>
  </si>
  <si>
    <t>BİLGİN</t>
  </si>
  <si>
    <t>FEVZİ ÇAKMAK MAH. LALE SK. NO:8/10 BAHÇELİEVLER/İST.</t>
  </si>
  <si>
    <t>5398632592</t>
  </si>
  <si>
    <t>7684</t>
  </si>
  <si>
    <t>42842098906</t>
  </si>
  <si>
    <t>LÜTFİYE</t>
  </si>
  <si>
    <t>KİLİS</t>
  </si>
  <si>
    <t>DEMİRKAPI MAH. 1610. SK. NO:4/5 BAĞCILAR/İST.</t>
  </si>
  <si>
    <t>5013613427</t>
  </si>
  <si>
    <t>7686</t>
  </si>
  <si>
    <t>7693</t>
  </si>
  <si>
    <t>48307684516</t>
  </si>
  <si>
    <t>BALCI</t>
  </si>
  <si>
    <t>MERKEZ MAH. 670. SK. KARATAŞ APT. NO:6/18 BAĞCILAR/İST.</t>
  </si>
  <si>
    <t>SON KONTROL</t>
  </si>
  <si>
    <t>5339734126</t>
  </si>
  <si>
    <t>7695</t>
  </si>
  <si>
    <t>25531373188</t>
  </si>
  <si>
    <t>AGİŞ</t>
  </si>
  <si>
    <t>TARSUS</t>
  </si>
  <si>
    <t>HAKİM</t>
  </si>
  <si>
    <t>ZAFER MAH. BABİL SK. YILMAZLAR NO:27/1 BAHÇELİEVLER/İSTANBUL</t>
  </si>
  <si>
    <t>5359604548</t>
  </si>
  <si>
    <t>7708</t>
  </si>
  <si>
    <t>53164717598</t>
  </si>
  <si>
    <t>İZGİ</t>
  </si>
  <si>
    <t>HALİT</t>
  </si>
  <si>
    <t>ATATÜRK MAH. DİLEK SK. AKKAYA APT. NO:31/5 KÜÇÜKÇEKMECE/İST.</t>
  </si>
  <si>
    <t>5511018372</t>
  </si>
  <si>
    <t>7697</t>
  </si>
  <si>
    <t>68998220206</t>
  </si>
  <si>
    <t>EKŞİ</t>
  </si>
  <si>
    <t>MEHMET AKİF MAH. 1.PINAR SK. NO:15/3 KÜÇÜKÇEKMECE/İSTANBUL</t>
  </si>
  <si>
    <t>5443786870</t>
  </si>
  <si>
    <t>7696</t>
  </si>
  <si>
    <t>10700980410</t>
  </si>
  <si>
    <t>RÜMEYSA</t>
  </si>
  <si>
    <t>AVCI</t>
  </si>
  <si>
    <t>100. YIL MAH. 2244. SK. NO:11/1 BAĞCILAR/İSTANBUL</t>
  </si>
  <si>
    <t>5326935638</t>
  </si>
  <si>
    <t>7712</t>
  </si>
  <si>
    <t>28237956068</t>
  </si>
  <si>
    <t>SERDAR</t>
  </si>
  <si>
    <t>KOCASİNAN MERKEZ MAH. KERKÜK CAD. NO:25/10 BAHÇELİEVLER/İST.</t>
  </si>
  <si>
    <t>5365206321</t>
  </si>
  <si>
    <t>7706</t>
  </si>
  <si>
    <t>15017924256</t>
  </si>
  <si>
    <t>AYŞEGÜL</t>
  </si>
  <si>
    <t>ÖZPİ</t>
  </si>
  <si>
    <t>SİVEREK</t>
  </si>
  <si>
    <t>DENİZKÖŞKLER MAH. ÜNER SK. NO:3/8 AVCILAR/İSTANBUL</t>
  </si>
  <si>
    <t>5360258303</t>
  </si>
  <si>
    <t>ÖZGENEL</t>
  </si>
  <si>
    <t>7700</t>
  </si>
  <si>
    <t>11788679142</t>
  </si>
  <si>
    <t>EROL</t>
  </si>
  <si>
    <t>İNÖNÜ MAH. 1. ŞEN SK. NO:18/4 KÜÇÜKÇEKMECE/İST.</t>
  </si>
  <si>
    <t>5356904540</t>
  </si>
  <si>
    <t>YÜKSEL GÜL</t>
  </si>
  <si>
    <t>1,5</t>
  </si>
  <si>
    <t>S.NO</t>
  </si>
  <si>
    <t>AÇIKLAMA</t>
  </si>
  <si>
    <t>30 AĞUSTOS ÖNCESİ</t>
  </si>
  <si>
    <t>YILBAŞI ÖNCESİ</t>
  </si>
  <si>
    <t>RAMAZAN BAYRAMI SONU</t>
  </si>
  <si>
    <t>CUMHURİYET BAYRAMI ÖNCESİ 03.06.2019 0,5 GÜN RAMAZAN BAYRAMI ARİFESİ DAHİL EDİLDİ</t>
  </si>
  <si>
    <t xml:space="preserve">15 TEMMUZ SONU </t>
  </si>
  <si>
    <t>KURBAN BAYRAMI ÖNCESİ 0,5 GÜN  12.05.2021 0,5 GÜN RAMAZAN BAYRAMI ARİFESİ DAHİL EDİLDİ</t>
  </si>
  <si>
    <t>KURBAN BAYRAMI SONU</t>
  </si>
  <si>
    <t>KURBAN BAYRAMI ÖNCESİ 1,5 GÜN  20.04.2023 0,5 GÜN RAMAZAN BAYRAMI ARİFESİ DAHİL EDİLDİ</t>
  </si>
  <si>
    <t>RAMAZAN BAYRAMI ÖNCESİ</t>
  </si>
  <si>
    <t>CUMHURİYET BAYRAMI ARİFE</t>
  </si>
  <si>
    <t>KURBAN BAYRAMI ARİFE</t>
  </si>
  <si>
    <t>YILBAŞI SONRASI</t>
  </si>
  <si>
    <t>KURBAN BAYRAMI ÖNCESİ</t>
  </si>
  <si>
    <t>ERDENİZ</t>
  </si>
  <si>
    <t>ERBAA</t>
  </si>
  <si>
    <t>7715</t>
  </si>
  <si>
    <t>54436377144</t>
  </si>
  <si>
    <t>FESİH</t>
  </si>
  <si>
    <t>PÜLAT</t>
  </si>
  <si>
    <t>BAPİR</t>
  </si>
  <si>
    <t>ZAFER MAH. ÇALIŞKAN SK. ESENEVLER SİTESİ NO:8/24 BAHÇELİEVLE</t>
  </si>
  <si>
    <t>ÇAKIMCI</t>
  </si>
  <si>
    <t>5436190028</t>
  </si>
  <si>
    <t>7717</t>
  </si>
  <si>
    <t>58750387902</t>
  </si>
  <si>
    <t>FADİME</t>
  </si>
  <si>
    <t>ÇEVİK</t>
  </si>
  <si>
    <t>SATILMIS</t>
  </si>
  <si>
    <t>FATİH MAH. 1834. SK. ÖZTÜRK APT. NO:18/1 BAĞCILAR/İST.</t>
  </si>
  <si>
    <t>İPLİK TEMİZLEME</t>
  </si>
  <si>
    <t>5453269117</t>
  </si>
  <si>
    <t>7720</t>
  </si>
  <si>
    <t>FEVZİ ÇAKMAK MAH. AKİF SK. NO:37/3 KÜÇÜKÇEKMECE/İST.</t>
  </si>
  <si>
    <t>7723</t>
  </si>
  <si>
    <t>52678619756</t>
  </si>
  <si>
    <t>ARİFE</t>
  </si>
  <si>
    <t>15 TEMMUZ MAH. 1394. SK. ZEYNEP APT. NO:30A BAĞCILAR/İSTANBU</t>
  </si>
  <si>
    <t>5383756233</t>
  </si>
  <si>
    <t>7725</t>
  </si>
  <si>
    <t>61744407272</t>
  </si>
  <si>
    <t>YURDAGÜL</t>
  </si>
  <si>
    <t>DOĞANCI</t>
  </si>
  <si>
    <t>HÜRRİYET MAH. 121. SK. NO:28/4 BAĞCILAR/İST.</t>
  </si>
  <si>
    <t>5353196745</t>
  </si>
  <si>
    <t>7726</t>
  </si>
  <si>
    <t>13281060786</t>
  </si>
  <si>
    <t>MEHMET AKİF MAH. PİRİ REİS SK. GÖRÜR APT. NO:22/1 K.ÇEKMECE</t>
  </si>
  <si>
    <t>5467871167</t>
  </si>
  <si>
    <t>YEŞİL KENT MAH. G98 NO17 AVCILAR / İST</t>
  </si>
  <si>
    <t>2611.01</t>
  </si>
  <si>
    <t>Hukuk Müşaviri</t>
  </si>
  <si>
    <t>HUKUK MÜŞAVİRİ</t>
  </si>
  <si>
    <t>7713</t>
  </si>
  <si>
    <t>37627643020</t>
  </si>
  <si>
    <t>TİMURHAN</t>
  </si>
  <si>
    <t>SEVİNÇ</t>
  </si>
  <si>
    <t>MUHAMMET EMİN</t>
  </si>
  <si>
    <t>GÜNEŞTEPE MAH. ŞİMŞEK SK. NO:26/8 GÜNGÖREN/İST.</t>
  </si>
  <si>
    <t>5397457762</t>
  </si>
  <si>
    <t>7714</t>
  </si>
  <si>
    <t>13171379530</t>
  </si>
  <si>
    <t>SALTAŞ</t>
  </si>
  <si>
    <t>KAZIM KARABEKİR MAH. 271. SK. NO:14/63 BAĞCILAR/İSTANBUL</t>
  </si>
  <si>
    <t>5347830733</t>
  </si>
  <si>
    <t>AB RH -</t>
  </si>
  <si>
    <t>7716</t>
  </si>
  <si>
    <t>45982652236</t>
  </si>
  <si>
    <t>NESRİN</t>
  </si>
  <si>
    <t>KAYA TUNOĞLU</t>
  </si>
  <si>
    <t>GÜLTEPE MAH. ERDOĞAN CAD. NO:36/2 KÜÇÜKÇEKMECE/İST.</t>
  </si>
  <si>
    <t>5301625280</t>
  </si>
  <si>
    <t>7727</t>
  </si>
  <si>
    <t>69262032358</t>
  </si>
  <si>
    <t>DİKMEN</t>
  </si>
  <si>
    <t>AMBARLI MAH. AŞIK VEYSEL CAD. 1. SK. NO:28/1 AVCILAR/İST.</t>
  </si>
  <si>
    <t>5369616320</t>
  </si>
  <si>
    <t>7733</t>
  </si>
  <si>
    <t>53491487652</t>
  </si>
  <si>
    <t>ERGÜN</t>
  </si>
  <si>
    <t>MEHMET AKİF MAH. 3. ZAFER SK.NO:27/5 KÜÇÜKÇEKMECE/İST.</t>
  </si>
  <si>
    <t>5438858699</t>
  </si>
  <si>
    <t>7735</t>
  </si>
  <si>
    <t>51007789658</t>
  </si>
  <si>
    <t>SEHER</t>
  </si>
  <si>
    <t>DİLEK</t>
  </si>
  <si>
    <t>ABDULKADİR</t>
  </si>
  <si>
    <t>SANCAKTEPE MAH. 890. SK. DİLEK APT. NO:33/4 BAĞCILAR/ST.</t>
  </si>
  <si>
    <t>5339314472</t>
  </si>
  <si>
    <t>3561</t>
  </si>
  <si>
    <t>50029073400</t>
  </si>
  <si>
    <t>CANER</t>
  </si>
  <si>
    <t>CEMALETTİN</t>
  </si>
  <si>
    <t>YÖNETİCİ</t>
  </si>
  <si>
    <t>4/b Bağ-Kur(Çalışan)</t>
  </si>
  <si>
    <t>7443</t>
  </si>
  <si>
    <t>31649241998</t>
  </si>
  <si>
    <t>ERSEN</t>
  </si>
  <si>
    <t>İLYAS</t>
  </si>
  <si>
    <t>0,5</t>
  </si>
  <si>
    <t>1 Yıl</t>
  </si>
  <si>
    <t>2 Yıl</t>
  </si>
  <si>
    <t>25,5</t>
  </si>
  <si>
    <t>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</si>
</sst>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800]dddd\,\ mmmm\ dd\,\ yyyy"/>
    <numFmt numFmtId="165" formatCode="dd\.mm\.yyyy"/>
    <numFmt numFmtId="166" formatCode="0.0"/>
    <numFmt numFmtId="167" formatCode="m/d/yyyy"/>
  </numFmts>
  <fonts count="37" x14ac:knownFonts="1">
    <font>
      <sz val="11"/>
      <color theme="1"/>
      <name val="Calibri"/>
      <family val="2"/>
      <charset val="162"/>
      <scheme val="minor"/>
    </font>
    <font>
      <b/>
      <sz val="11"/>
      <color theme="0"/>
      <name val="Calibri"/>
      <family val="2"/>
      <charset val="162"/>
      <scheme val="minor"/>
    </font>
    <font>
      <b/>
      <sz val="11"/>
      <color theme="1"/>
      <name val="Calibri"/>
      <family val="2"/>
      <charset val="162"/>
      <scheme val="minor"/>
    </font>
    <font>
      <b/>
      <sz val="11"/>
      <color rgb="FF105358"/>
      <name val="Calibri"/>
      <family val="2"/>
      <charset val="162"/>
      <scheme val="minor"/>
    </font>
    <font>
      <sz val="11"/>
      <color theme="0" tint="-4.9989318521683403E-2"/>
      <name val="Calibri"/>
      <family val="2"/>
      <charset val="162"/>
      <scheme val="minor"/>
    </font>
    <font>
      <b/>
      <sz val="48"/>
      <color theme="0"/>
      <name val="Calibri"/>
      <family val="2"/>
      <charset val="162"/>
      <scheme val="minor"/>
    </font>
    <font>
      <sz val="11"/>
      <color theme="0"/>
      <name val="Calibri"/>
      <family val="2"/>
      <charset val="162"/>
      <scheme val="minor"/>
    </font>
    <font>
      <b/>
      <sz val="11"/>
      <color theme="0" tint="-4.9989318521683403E-2"/>
      <name val="Calibri"/>
      <family val="2"/>
      <charset val="162"/>
      <scheme val="minor"/>
    </font>
    <font>
      <b/>
      <sz val="12"/>
      <color theme="0" tint="-4.9989318521683403E-2"/>
      <name val="Calibri"/>
      <family val="2"/>
      <charset val="162"/>
      <scheme val="minor"/>
    </font>
    <font>
      <b/>
      <sz val="12"/>
      <color theme="1"/>
      <name val="Calibri"/>
      <family val="2"/>
      <charset val="162"/>
      <scheme val="minor"/>
    </font>
    <font>
      <sz val="8"/>
      <name val="Calibri"/>
      <family val="2"/>
      <charset val="162"/>
      <scheme val="minor"/>
    </font>
    <font>
      <sz val="12"/>
      <color theme="1"/>
      <name val="Calibri"/>
      <family val="2"/>
      <charset val="162"/>
      <scheme val="minor"/>
    </font>
    <font>
      <b/>
      <i/>
      <sz val="11"/>
      <color theme="0"/>
      <name val="Calibri"/>
      <family val="2"/>
      <charset val="162"/>
      <scheme val="minor"/>
    </font>
    <font>
      <i/>
      <sz val="11"/>
      <color rgb="FF1F1F1F"/>
      <name val="Arial"/>
      <family val="2"/>
      <charset val="162"/>
    </font>
    <font>
      <i/>
      <sz val="11"/>
      <color theme="1"/>
      <name val="Calibri"/>
      <family val="2"/>
      <charset val="162"/>
      <scheme val="minor"/>
    </font>
    <font>
      <sz val="11"/>
      <color theme="1"/>
      <name val="Arial"/>
      <family val="2"/>
      <charset val="162"/>
    </font>
    <font>
      <b/>
      <sz val="16"/>
      <color theme="1"/>
      <name val="Arial"/>
      <family val="2"/>
      <charset val="162"/>
    </font>
    <font>
      <sz val="10"/>
      <color theme="1"/>
      <name val="Arial"/>
      <family val="2"/>
      <charset val="162"/>
    </font>
    <font>
      <b/>
      <sz val="14"/>
      <color theme="1"/>
      <name val="Arial"/>
      <family val="2"/>
      <charset val="162"/>
    </font>
    <font>
      <b/>
      <sz val="12"/>
      <color theme="1"/>
      <name val="Arial"/>
      <family val="2"/>
      <charset val="162"/>
    </font>
    <font>
      <b/>
      <sz val="18"/>
      <color theme="1"/>
      <name val="Arial"/>
      <family val="2"/>
      <charset val="162"/>
    </font>
    <font>
      <sz val="12"/>
      <color theme="1"/>
      <name val="Arial"/>
      <family val="2"/>
      <charset val="162"/>
    </font>
    <font>
      <b/>
      <sz val="11"/>
      <color theme="1"/>
      <name val="Arial"/>
      <family val="2"/>
      <charset val="162"/>
    </font>
    <font>
      <b/>
      <sz val="10"/>
      <color theme="1"/>
      <name val="Calibri"/>
      <family val="2"/>
      <charset val="162"/>
      <scheme val="minor"/>
    </font>
    <font>
      <b/>
      <sz val="14"/>
      <name val="Arial"/>
      <family val="2"/>
      <charset val="162"/>
    </font>
    <font>
      <sz val="11"/>
      <name val="Calibri"/>
      <family val="2"/>
      <charset val="162"/>
      <scheme val="minor"/>
    </font>
    <font>
      <sz val="11"/>
      <name val="Arial"/>
      <family val="2"/>
      <charset val="162"/>
    </font>
    <font>
      <b/>
      <sz val="14"/>
      <color theme="1"/>
      <name val="Calibri"/>
      <family val="2"/>
      <charset val="162"/>
      <scheme val="minor"/>
    </font>
    <font>
      <b/>
      <sz val="11"/>
      <color rgb="FFFF0000"/>
      <name val="Calibri"/>
      <family val="2"/>
      <charset val="162"/>
      <scheme val="minor"/>
    </font>
    <font>
      <sz val="12"/>
      <name val="Arial"/>
      <family val="2"/>
      <charset val="162"/>
    </font>
    <font>
      <b/>
      <sz val="10"/>
      <name val="Calibri"/>
      <family val="2"/>
      <charset val="162"/>
      <scheme val="minor"/>
    </font>
    <font>
      <sz val="48"/>
      <color theme="0" tint="-4.9989318521683403E-2"/>
      <name val="Arial"/>
      <family val="2"/>
      <charset val="162"/>
    </font>
    <font>
      <sz val="11"/>
      <color theme="0" tint="-4.9989318521683403E-2"/>
      <name val="Arial"/>
      <family val="2"/>
      <charset val="162"/>
    </font>
    <font>
      <u/>
      <sz val="11"/>
      <color theme="1"/>
      <name val="Calibri"/>
      <family val="2"/>
      <charset val="162"/>
      <scheme val="minor"/>
    </font>
    <font>
      <b/>
      <sz val="16"/>
      <name val="Arial"/>
      <family val="2"/>
    </font>
    <font>
      <sz val="14"/>
      <color theme="1"/>
      <name val="Arial"/>
      <family val="2"/>
      <charset val="162"/>
    </font>
    <font>
      <b/>
      <sz val="12"/>
      <color theme="0"/>
      <name val="Calibri"/>
      <family val="2"/>
      <charset val="162"/>
      <scheme val="minor"/>
    </font>
  </fonts>
  <fills count="14">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125E64"/>
        <bgColor indexed="64"/>
      </patternFill>
    </fill>
    <fill>
      <patternFill patternType="solid">
        <fgColor rgb="FF11595F"/>
        <bgColor indexed="64"/>
      </patternFill>
    </fill>
    <fill>
      <patternFill patternType="solid">
        <fgColor rgb="FFD8F6F8"/>
        <bgColor indexed="64"/>
      </patternFill>
    </fill>
    <fill>
      <patternFill patternType="solid">
        <fgColor rgb="FF87E2E9"/>
        <bgColor indexed="64"/>
      </patternFill>
    </fill>
    <fill>
      <patternFill patternType="solid">
        <fgColor rgb="FFF2F2F2"/>
        <bgColor indexed="64"/>
      </patternFill>
    </fill>
    <fill>
      <patternFill patternType="solid">
        <fgColor rgb="FF0D474B"/>
        <bgColor indexed="64"/>
      </patternFill>
    </fill>
    <fill>
      <patternFill patternType="solid">
        <fgColor theme="2"/>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0070C0"/>
        <bgColor indexed="64"/>
      </patternFill>
    </fill>
  </fills>
  <borders count="43">
    <border>
      <left/>
      <right/>
      <top/>
      <bottom/>
      <diagonal/>
    </border>
    <border>
      <left/>
      <right/>
      <top/>
      <bottom style="thin">
        <color indexed="64"/>
      </bottom>
      <diagonal/>
    </border>
    <border>
      <left style="thin">
        <color rgb="FF19838B"/>
      </left>
      <right style="thin">
        <color rgb="FF19838B"/>
      </right>
      <top style="thin">
        <color rgb="FF19838B"/>
      </top>
      <bottom style="thin">
        <color rgb="FF19838B"/>
      </bottom>
      <diagonal/>
    </border>
    <border>
      <left style="thin">
        <color rgb="FF19838B"/>
      </left>
      <right style="thin">
        <color rgb="FF19838B"/>
      </right>
      <top style="thin">
        <color rgb="FF19838B"/>
      </top>
      <bottom/>
      <diagonal/>
    </border>
    <border>
      <left/>
      <right style="thin">
        <color rgb="FF19838B"/>
      </right>
      <top style="thin">
        <color rgb="FF19838B"/>
      </top>
      <bottom/>
      <diagonal/>
    </border>
    <border>
      <left style="thin">
        <color rgb="FF19838B"/>
      </left>
      <right style="thin">
        <color rgb="FF19838B"/>
      </right>
      <top/>
      <bottom style="thin">
        <color rgb="FF19838B"/>
      </bottom>
      <diagonal/>
    </border>
    <border>
      <left style="thin">
        <color rgb="FF19838B"/>
      </left>
      <right/>
      <top style="thin">
        <color rgb="FF19838B"/>
      </top>
      <bottom style="thin">
        <color rgb="FF19838B"/>
      </bottom>
      <diagonal/>
    </border>
    <border>
      <left style="thin">
        <color rgb="FF19838B"/>
      </left>
      <right/>
      <top style="thin">
        <color rgb="FF19838B"/>
      </top>
      <bottom/>
      <diagonal/>
    </border>
    <border>
      <left/>
      <right/>
      <top style="thin">
        <color rgb="FF19838B"/>
      </top>
      <bottom/>
      <diagonal/>
    </border>
    <border>
      <left/>
      <right/>
      <top/>
      <bottom style="thin">
        <color rgb="FF19838B"/>
      </bottom>
      <diagonal/>
    </border>
    <border>
      <left/>
      <right style="thin">
        <color rgb="FF19838B"/>
      </right>
      <top/>
      <bottom style="thin">
        <color rgb="FF19838B"/>
      </bottom>
      <diagonal/>
    </border>
    <border>
      <left/>
      <right style="thin">
        <color rgb="FF19838B"/>
      </right>
      <top style="thin">
        <color rgb="FF19838B"/>
      </top>
      <bottom style="thin">
        <color rgb="FF19838B"/>
      </bottom>
      <diagonal/>
    </border>
    <border>
      <left style="double">
        <color theme="0" tint="-0.24994659260841701"/>
      </left>
      <right style="double">
        <color theme="0" tint="-0.24994659260841701"/>
      </right>
      <top style="double">
        <color theme="0" tint="-0.24994659260841701"/>
      </top>
      <bottom style="double">
        <color theme="0" tint="-0.24994659260841701"/>
      </bottom>
      <diagonal/>
    </border>
    <border>
      <left style="thin">
        <color rgb="FF19838B"/>
      </left>
      <right/>
      <top/>
      <bottom/>
      <diagonal/>
    </border>
    <border>
      <left style="thin">
        <color rgb="FF19838B"/>
      </left>
      <right/>
      <top/>
      <bottom style="thin">
        <color rgb="FF19838B"/>
      </bottom>
      <diagonal/>
    </border>
    <border>
      <left style="thin">
        <color rgb="FF4FD5DF"/>
      </left>
      <right style="thin">
        <color rgb="FF4FD5DF"/>
      </right>
      <top style="thin">
        <color rgb="FF4FD5DF"/>
      </top>
      <bottom/>
      <diagonal/>
    </border>
    <border>
      <left style="medium">
        <color rgb="FF19838B"/>
      </left>
      <right/>
      <top style="medium">
        <color rgb="FF19838B"/>
      </top>
      <bottom/>
      <diagonal/>
    </border>
    <border>
      <left/>
      <right/>
      <top style="medium">
        <color rgb="FF19838B"/>
      </top>
      <bottom/>
      <diagonal/>
    </border>
    <border>
      <left/>
      <right style="medium">
        <color rgb="FF19838B"/>
      </right>
      <top style="medium">
        <color rgb="FF19838B"/>
      </top>
      <bottom/>
      <diagonal/>
    </border>
    <border>
      <left style="medium">
        <color rgb="FF19838B"/>
      </left>
      <right/>
      <top/>
      <bottom/>
      <diagonal/>
    </border>
    <border>
      <left/>
      <right style="medium">
        <color rgb="FF19838B"/>
      </right>
      <top/>
      <bottom/>
      <diagonal/>
    </border>
    <border>
      <left style="thin">
        <color rgb="FF000000"/>
      </left>
      <right style="thin">
        <color rgb="FF000000"/>
      </right>
      <top style="thin">
        <color rgb="FF000000"/>
      </top>
      <bottom style="thin">
        <color rgb="FF000000"/>
      </bottom>
      <diagonal/>
    </border>
    <border>
      <left/>
      <right/>
      <top/>
      <bottom style="medium">
        <color auto="1"/>
      </bottom>
      <diagonal/>
    </border>
    <border>
      <left/>
      <right/>
      <top style="medium">
        <color auto="1"/>
      </top>
      <bottom style="medium">
        <color auto="1"/>
      </bottom>
      <diagonal/>
    </border>
    <border>
      <left/>
      <right/>
      <top style="medium">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bottom style="thin">
        <color auto="1"/>
      </bottom>
      <diagonal/>
    </border>
    <border>
      <left/>
      <right/>
      <top style="thin">
        <color rgb="FF19838B"/>
      </top>
      <bottom style="thin">
        <color rgb="FF19838B"/>
      </bottom>
      <diagonal/>
    </border>
    <border>
      <left style="thin">
        <color rgb="FF19838B"/>
      </left>
      <right style="thin">
        <color rgb="FF4FD5DF"/>
      </right>
      <top style="thin">
        <color rgb="FF19838B"/>
      </top>
      <bottom/>
      <diagonal/>
    </border>
    <border>
      <left style="thin">
        <color rgb="FF000000"/>
      </left>
      <right/>
      <top style="thin">
        <color rgb="FF19838B"/>
      </top>
      <bottom style="thin">
        <color rgb="FF19838B"/>
      </bottom>
      <diagonal/>
    </border>
    <border>
      <left style="thin">
        <color rgb="FF000000"/>
      </left>
      <right/>
      <top style="thin">
        <color rgb="FF19838B"/>
      </top>
      <bottom/>
      <diagonal/>
    </border>
  </borders>
  <cellStyleXfs count="1">
    <xf numFmtId="0" fontId="0" fillId="0" borderId="0"/>
  </cellStyleXfs>
  <cellXfs count="291">
    <xf numFmtId="0" fontId="0" fillId="0" borderId="0" xfId="0"/>
    <xf numFmtId="0" fontId="0" fillId="2" borderId="0" xfId="0" applyFill="1"/>
    <xf numFmtId="0" fontId="0" fillId="4" borderId="0" xfId="0" applyFill="1"/>
    <xf numFmtId="0" fontId="2" fillId="6" borderId="7" xfId="0" applyFont="1" applyFill="1" applyBorder="1" applyAlignment="1">
      <alignment horizontal="center" vertical="center"/>
    </xf>
    <xf numFmtId="0" fontId="2" fillId="6" borderId="6" xfId="0" applyFont="1" applyFill="1" applyBorder="1" applyAlignment="1">
      <alignment horizontal="center" vertical="center"/>
    </xf>
    <xf numFmtId="0" fontId="2" fillId="6" borderId="11" xfId="0" applyFont="1" applyFill="1" applyBorder="1" applyAlignment="1">
      <alignment horizontal="center" vertical="center"/>
    </xf>
    <xf numFmtId="49" fontId="2" fillId="6" borderId="2" xfId="0" applyNumberFormat="1" applyFont="1" applyFill="1" applyBorder="1" applyAlignment="1">
      <alignment horizontal="center" vertical="center"/>
    </xf>
    <xf numFmtId="0" fontId="2" fillId="0" borderId="11" xfId="0" applyFont="1" applyBorder="1" applyAlignment="1">
      <alignment horizontal="center" vertical="center"/>
    </xf>
    <xf numFmtId="49" fontId="2" fillId="0" borderId="2" xfId="0" applyNumberFormat="1" applyFont="1" applyBorder="1" applyAlignment="1">
      <alignment horizontal="center" vertical="center"/>
    </xf>
    <xf numFmtId="0" fontId="2" fillId="0" borderId="6" xfId="0" applyFont="1" applyBorder="1" applyAlignment="1">
      <alignment horizontal="center" vertical="center"/>
    </xf>
    <xf numFmtId="0" fontId="2" fillId="6" borderId="4" xfId="0" applyFont="1" applyFill="1" applyBorder="1" applyAlignment="1">
      <alignment horizontal="center" vertical="center"/>
    </xf>
    <xf numFmtId="49" fontId="2" fillId="6" borderId="3" xfId="0" applyNumberFormat="1" applyFont="1" applyFill="1" applyBorder="1" applyAlignment="1">
      <alignment horizontal="center" vertical="center"/>
    </xf>
    <xf numFmtId="0" fontId="0" fillId="0" borderId="2" xfId="0" applyBorder="1" applyAlignment="1">
      <alignment horizontal="left" vertical="center" indent="1"/>
    </xf>
    <xf numFmtId="0" fontId="3" fillId="2" borderId="0" xfId="0" applyFont="1" applyFill="1"/>
    <xf numFmtId="0" fontId="4" fillId="2" borderId="0" xfId="0" applyFont="1" applyFill="1" applyAlignment="1">
      <alignment horizontal="center"/>
    </xf>
    <xf numFmtId="0" fontId="0" fillId="2" borderId="1" xfId="0" applyFill="1" applyBorder="1"/>
    <xf numFmtId="0" fontId="1" fillId="5" borderId="10" xfId="0" applyFont="1" applyFill="1" applyBorder="1" applyAlignment="1">
      <alignment horizontal="center" vertical="center"/>
    </xf>
    <xf numFmtId="49" fontId="0" fillId="0" borderId="12" xfId="0" applyNumberFormat="1" applyBorder="1" applyAlignment="1">
      <alignment horizontal="center"/>
    </xf>
    <xf numFmtId="0" fontId="0" fillId="0" borderId="12" xfId="0" applyBorder="1" applyAlignment="1">
      <alignment horizontal="center"/>
    </xf>
    <xf numFmtId="0" fontId="2" fillId="0" borderId="0" xfId="0" applyFont="1"/>
    <xf numFmtId="0" fontId="0" fillId="0" borderId="0" xfId="0" applyAlignment="1">
      <alignment horizontal="center"/>
    </xf>
    <xf numFmtId="49" fontId="0" fillId="0" borderId="0" xfId="0" applyNumberFormat="1"/>
    <xf numFmtId="49" fontId="0" fillId="7" borderId="12" xfId="0" applyNumberFormat="1" applyFill="1" applyBorder="1" applyAlignment="1">
      <alignment horizontal="center"/>
    </xf>
    <xf numFmtId="0" fontId="0" fillId="7" borderId="12" xfId="0" applyFill="1" applyBorder="1" applyAlignment="1">
      <alignment horizontal="center"/>
    </xf>
    <xf numFmtId="1" fontId="1" fillId="5" borderId="5" xfId="0" applyNumberFormat="1" applyFont="1" applyFill="1" applyBorder="1" applyAlignment="1">
      <alignment horizontal="center" vertical="center"/>
    </xf>
    <xf numFmtId="0" fontId="0" fillId="2" borderId="8" xfId="0" applyFill="1" applyBorder="1"/>
    <xf numFmtId="0" fontId="0" fillId="2" borderId="9" xfId="0" applyFill="1" applyBorder="1"/>
    <xf numFmtId="1" fontId="1" fillId="5" borderId="10" xfId="0" applyNumberFormat="1" applyFont="1" applyFill="1" applyBorder="1" applyAlignment="1">
      <alignment horizontal="center" vertical="center"/>
    </xf>
    <xf numFmtId="0" fontId="0" fillId="3" borderId="11" xfId="0" applyFill="1" applyBorder="1" applyAlignment="1">
      <alignment horizontal="center"/>
    </xf>
    <xf numFmtId="0" fontId="0" fillId="3" borderId="4" xfId="0" applyFill="1" applyBorder="1" applyAlignment="1">
      <alignment horizontal="center"/>
    </xf>
    <xf numFmtId="0" fontId="1" fillId="5" borderId="15" xfId="0" applyFont="1" applyFill="1" applyBorder="1" applyAlignment="1">
      <alignment horizontal="center" vertical="center"/>
    </xf>
    <xf numFmtId="0" fontId="1" fillId="5" borderId="5" xfId="0" applyFont="1" applyFill="1" applyBorder="1" applyAlignment="1">
      <alignment horizontal="center" vertical="center"/>
    </xf>
    <xf numFmtId="0" fontId="0" fillId="2" borderId="13" xfId="0" applyFill="1" applyBorder="1"/>
    <xf numFmtId="0" fontId="0" fillId="3" borderId="3" xfId="0" applyFill="1" applyBorder="1"/>
    <xf numFmtId="1" fontId="0" fillId="8" borderId="2" xfId="0" applyNumberFormat="1" applyFill="1" applyBorder="1" applyAlignment="1">
      <alignment horizontal="center"/>
    </xf>
    <xf numFmtId="0" fontId="0" fillId="8" borderId="2" xfId="0" applyFill="1" applyBorder="1" applyAlignment="1">
      <alignment horizontal="center"/>
    </xf>
    <xf numFmtId="0" fontId="2" fillId="8" borderId="2" xfId="0" applyFont="1" applyFill="1" applyBorder="1" applyAlignment="1">
      <alignment horizontal="center" vertical="center"/>
    </xf>
    <xf numFmtId="0" fontId="0" fillId="3" borderId="2" xfId="0" applyFill="1" applyBorder="1"/>
    <xf numFmtId="0" fontId="0" fillId="3" borderId="2" xfId="0" applyFill="1" applyBorder="1" applyAlignment="1">
      <alignment horizontal="left"/>
    </xf>
    <xf numFmtId="14" fontId="0" fillId="2" borderId="0" xfId="0" applyNumberFormat="1" applyFill="1"/>
    <xf numFmtId="0" fontId="12" fillId="5" borderId="10" xfId="0" applyFont="1" applyFill="1" applyBorder="1" applyAlignment="1">
      <alignment horizontal="center" vertical="center"/>
    </xf>
    <xf numFmtId="0" fontId="12" fillId="5" borderId="5" xfId="0" applyFont="1" applyFill="1" applyBorder="1" applyAlignment="1">
      <alignment horizontal="center" vertical="center"/>
    </xf>
    <xf numFmtId="0" fontId="14" fillId="0" borderId="6" xfId="0" applyFont="1" applyBorder="1" applyAlignment="1">
      <alignment horizontal="left" indent="1"/>
    </xf>
    <xf numFmtId="166" fontId="14" fillId="2" borderId="0" xfId="0" applyNumberFormat="1" applyFont="1" applyFill="1"/>
    <xf numFmtId="1" fontId="14" fillId="2" borderId="0" xfId="0" applyNumberFormat="1" applyFont="1" applyFill="1"/>
    <xf numFmtId="0" fontId="2" fillId="2" borderId="6" xfId="0" applyFont="1" applyFill="1" applyBorder="1" applyAlignment="1">
      <alignment horizontal="center"/>
    </xf>
    <xf numFmtId="0" fontId="2" fillId="2" borderId="7" xfId="0" applyFont="1" applyFill="1" applyBorder="1" applyAlignment="1">
      <alignment horizontal="center"/>
    </xf>
    <xf numFmtId="0" fontId="1" fillId="5" borderId="14" xfId="0" applyFont="1" applyFill="1" applyBorder="1" applyAlignment="1">
      <alignment horizontal="center" vertical="center"/>
    </xf>
    <xf numFmtId="0" fontId="0" fillId="2" borderId="2" xfId="0" applyFill="1" applyBorder="1"/>
    <xf numFmtId="0" fontId="15" fillId="0" borderId="32" xfId="0" applyFont="1" applyBorder="1" applyAlignment="1">
      <alignment horizontal="center"/>
    </xf>
    <xf numFmtId="14" fontId="15" fillId="0" borderId="32" xfId="0" applyNumberFormat="1" applyFont="1" applyBorder="1" applyAlignment="1">
      <alignment horizontal="center"/>
    </xf>
    <xf numFmtId="0" fontId="15" fillId="0" borderId="32" xfId="0" applyFont="1" applyBorder="1"/>
    <xf numFmtId="0" fontId="15" fillId="0" borderId="0" xfId="0" applyFont="1"/>
    <xf numFmtId="0" fontId="18" fillId="0" borderId="32" xfId="0" applyFont="1" applyBorder="1" applyAlignment="1">
      <alignment vertical="center"/>
    </xf>
    <xf numFmtId="0" fontId="19" fillId="0" borderId="32" xfId="0" applyFont="1" applyBorder="1" applyAlignment="1">
      <alignment vertical="center"/>
    </xf>
    <xf numFmtId="0" fontId="19" fillId="0" borderId="32" xfId="0" applyFont="1" applyBorder="1" applyAlignment="1">
      <alignment vertical="center" wrapText="1"/>
    </xf>
    <xf numFmtId="0" fontId="25" fillId="0" borderId="0" xfId="0" applyFont="1"/>
    <xf numFmtId="0" fontId="26" fillId="0" borderId="0" xfId="0" applyFont="1" applyAlignment="1">
      <alignment horizontal="left" vertical="center" wrapText="1"/>
    </xf>
    <xf numFmtId="0" fontId="26" fillId="0" borderId="0" xfId="0" applyFont="1"/>
    <xf numFmtId="0" fontId="1" fillId="5" borderId="40" xfId="0" applyFont="1" applyFill="1" applyBorder="1" applyAlignment="1">
      <alignment horizontal="center" vertical="center"/>
    </xf>
    <xf numFmtId="14" fontId="0" fillId="3" borderId="2" xfId="0" applyNumberFormat="1" applyFill="1" applyBorder="1" applyAlignment="1">
      <alignment horizontal="center"/>
    </xf>
    <xf numFmtId="14" fontId="0" fillId="3" borderId="3" xfId="0" applyNumberFormat="1" applyFill="1" applyBorder="1" applyAlignment="1">
      <alignment horizontal="center"/>
    </xf>
    <xf numFmtId="14" fontId="0" fillId="0" borderId="0" xfId="0" applyNumberFormat="1"/>
    <xf numFmtId="2" fontId="0" fillId="0" borderId="0" xfId="0" applyNumberFormat="1"/>
    <xf numFmtId="0" fontId="29" fillId="0" borderId="0" xfId="0" applyFont="1"/>
    <xf numFmtId="0" fontId="14" fillId="2" borderId="42" xfId="0" applyFont="1" applyFill="1" applyBorder="1" applyAlignment="1">
      <alignment horizontal="left" indent="1"/>
    </xf>
    <xf numFmtId="0" fontId="14" fillId="0" borderId="41" xfId="0" applyFont="1" applyBorder="1" applyAlignment="1">
      <alignment horizontal="left" indent="2"/>
    </xf>
    <xf numFmtId="164" fontId="0" fillId="2" borderId="0" xfId="0" applyNumberFormat="1" applyFill="1" applyAlignment="1">
      <alignment horizontal="center"/>
    </xf>
    <xf numFmtId="0" fontId="33" fillId="0" borderId="0" xfId="0" applyFont="1"/>
    <xf numFmtId="0" fontId="21" fillId="0" borderId="0" xfId="0" applyFont="1" applyAlignment="1">
      <alignment horizontal="left"/>
    </xf>
    <xf numFmtId="0" fontId="0" fillId="0" borderId="25" xfId="0" applyBorder="1" applyAlignment="1">
      <alignment horizontal="center" vertical="center"/>
    </xf>
    <xf numFmtId="0" fontId="0" fillId="0" borderId="26" xfId="0" applyBorder="1" applyAlignment="1">
      <alignment horizontal="center"/>
    </xf>
    <xf numFmtId="0" fontId="0" fillId="0" borderId="32" xfId="0" applyBorder="1" applyAlignment="1">
      <alignment horizontal="center" vertical="center"/>
    </xf>
    <xf numFmtId="0" fontId="0" fillId="0" borderId="32" xfId="0" applyBorder="1" applyAlignment="1">
      <alignment horizontal="center"/>
    </xf>
    <xf numFmtId="0" fontId="0" fillId="0" borderId="29" xfId="0" applyBorder="1" applyAlignment="1">
      <alignment horizontal="center"/>
    </xf>
    <xf numFmtId="0" fontId="0" fillId="0" borderId="31" xfId="0" applyBorder="1" applyAlignment="1">
      <alignment horizontal="center"/>
    </xf>
    <xf numFmtId="0" fontId="0" fillId="0" borderId="28" xfId="0" applyBorder="1" applyAlignment="1">
      <alignment horizontal="center"/>
    </xf>
    <xf numFmtId="0" fontId="0" fillId="0" borderId="25" xfId="0" applyBorder="1" applyAlignment="1">
      <alignment horizontal="center"/>
    </xf>
    <xf numFmtId="0" fontId="0" fillId="0" borderId="33" xfId="0" applyBorder="1" applyAlignment="1">
      <alignment horizontal="center" vertical="center"/>
    </xf>
    <xf numFmtId="0" fontId="0" fillId="0" borderId="34" xfId="0" applyBorder="1" applyAlignment="1">
      <alignment horizontal="center"/>
    </xf>
    <xf numFmtId="0" fontId="0" fillId="0" borderId="35" xfId="0" applyBorder="1" applyAlignment="1">
      <alignment horizontal="center"/>
    </xf>
    <xf numFmtId="0" fontId="0" fillId="0" borderId="33" xfId="0" applyBorder="1" applyAlignment="1">
      <alignment horizontal="center"/>
    </xf>
    <xf numFmtId="1" fontId="11" fillId="0" borderId="32" xfId="0" applyNumberFormat="1" applyFont="1" applyBorder="1" applyAlignment="1">
      <alignment horizontal="center"/>
    </xf>
    <xf numFmtId="165" fontId="0" fillId="0" borderId="32" xfId="0" applyNumberFormat="1" applyBorder="1" applyAlignment="1">
      <alignment horizontal="center"/>
    </xf>
    <xf numFmtId="14" fontId="0" fillId="0" borderId="32" xfId="0" applyNumberFormat="1" applyBorder="1"/>
    <xf numFmtId="0" fontId="0" fillId="0" borderId="32" xfId="0" applyBorder="1"/>
    <xf numFmtId="14" fontId="0" fillId="0" borderId="0" xfId="0" applyNumberFormat="1" applyAlignment="1">
      <alignment horizontal="center"/>
    </xf>
    <xf numFmtId="0" fontId="0" fillId="0" borderId="0" xfId="0" applyAlignment="1">
      <alignment horizontal="left"/>
    </xf>
    <xf numFmtId="0" fontId="14" fillId="2" borderId="41" xfId="0" applyFont="1" applyFill="1" applyBorder="1" applyAlignment="1">
      <alignment horizontal="left" indent="1"/>
    </xf>
    <xf numFmtId="0" fontId="12" fillId="5" borderId="10" xfId="0" applyFont="1" applyFill="1" applyBorder="1" applyAlignment="1">
      <alignment horizontal="left" vertical="center"/>
    </xf>
    <xf numFmtId="14" fontId="13" fillId="0" borderId="21" xfId="0" applyNumberFormat="1" applyFont="1" applyBorder="1" applyAlignment="1">
      <alignment horizontal="left" vertical="center" wrapText="1" readingOrder="1"/>
    </xf>
    <xf numFmtId="0" fontId="0" fillId="2" borderId="0" xfId="0" applyFill="1" applyAlignment="1">
      <alignment horizontal="left"/>
    </xf>
    <xf numFmtId="167" fontId="14" fillId="2" borderId="11" xfId="0" applyNumberFormat="1" applyFont="1" applyFill="1" applyBorder="1" applyAlignment="1">
      <alignment horizontal="left"/>
    </xf>
    <xf numFmtId="167" fontId="14" fillId="2" borderId="4" xfId="0" applyNumberFormat="1" applyFont="1" applyFill="1" applyBorder="1" applyAlignment="1">
      <alignment horizontal="left"/>
    </xf>
    <xf numFmtId="14" fontId="0" fillId="2" borderId="0" xfId="0" applyNumberFormat="1" applyFill="1" applyAlignment="1">
      <alignment horizontal="center"/>
    </xf>
    <xf numFmtId="14" fontId="1" fillId="5" borderId="15" xfId="0" applyNumberFormat="1" applyFont="1" applyFill="1" applyBorder="1" applyAlignment="1">
      <alignment horizontal="center" vertical="center"/>
    </xf>
    <xf numFmtId="14" fontId="0" fillId="3" borderId="2" xfId="0" applyNumberFormat="1" applyFill="1" applyBorder="1" applyAlignment="1">
      <alignment horizontal="center" vertical="center"/>
    </xf>
    <xf numFmtId="14" fontId="0" fillId="3" borderId="3" xfId="0" applyNumberFormat="1" applyFill="1" applyBorder="1" applyAlignment="1">
      <alignment horizontal="center" vertical="center"/>
    </xf>
    <xf numFmtId="0" fontId="0" fillId="4" borderId="0" xfId="0" applyFill="1" applyProtection="1">
      <protection locked="0"/>
    </xf>
    <xf numFmtId="0" fontId="0" fillId="2" borderId="0" xfId="0" applyFill="1" applyProtection="1">
      <protection locked="0"/>
    </xf>
    <xf numFmtId="14" fontId="1" fillId="13" borderId="0" xfId="0" applyNumberFormat="1" applyFont="1" applyFill="1" applyProtection="1">
      <protection locked="0"/>
    </xf>
    <xf numFmtId="0" fontId="5" fillId="4" borderId="0" xfId="0" applyFont="1" applyFill="1" applyAlignment="1" applyProtection="1">
      <alignment wrapText="1"/>
      <protection locked="0"/>
    </xf>
    <xf numFmtId="0" fontId="1" fillId="4" borderId="0" xfId="0" applyFont="1" applyFill="1" applyAlignment="1" applyProtection="1">
      <alignment horizontal="center" vertical="center"/>
      <protection locked="0"/>
    </xf>
    <xf numFmtId="1" fontId="1" fillId="4" borderId="0" xfId="0" applyNumberFormat="1" applyFont="1" applyFill="1" applyAlignment="1" applyProtection="1">
      <alignment horizontal="center" vertical="center"/>
      <protection locked="0"/>
    </xf>
    <xf numFmtId="1" fontId="1" fillId="8" borderId="0" xfId="0" applyNumberFormat="1" applyFont="1" applyFill="1" applyAlignment="1" applyProtection="1">
      <alignment horizontal="center" vertical="center"/>
      <protection locked="0"/>
    </xf>
    <xf numFmtId="0" fontId="0" fillId="8" borderId="0" xfId="0" applyFill="1" applyProtection="1">
      <protection locked="0"/>
    </xf>
    <xf numFmtId="0" fontId="0" fillId="4" borderId="0" xfId="0" applyFill="1" applyAlignment="1" applyProtection="1">
      <alignment horizontal="center"/>
      <protection locked="0"/>
    </xf>
    <xf numFmtId="0" fontId="0" fillId="4" borderId="0" xfId="0" applyFill="1" applyAlignment="1" applyProtection="1">
      <alignment horizontal="left" indent="1"/>
      <protection locked="0"/>
    </xf>
    <xf numFmtId="0" fontId="5" fillId="4" borderId="17" xfId="0" applyFont="1" applyFill="1" applyBorder="1" applyAlignment="1" applyProtection="1">
      <alignment vertical="center" wrapText="1"/>
      <protection locked="0"/>
    </xf>
    <xf numFmtId="0" fontId="5" fillId="3" borderId="0" xfId="0" applyFont="1" applyFill="1" applyAlignment="1" applyProtection="1">
      <alignment wrapText="1"/>
      <protection locked="0"/>
    </xf>
    <xf numFmtId="0" fontId="7" fillId="4" borderId="0" xfId="0" applyFont="1" applyFill="1" applyAlignment="1" applyProtection="1">
      <alignment vertical="center" wrapText="1"/>
      <protection locked="0"/>
    </xf>
    <xf numFmtId="0" fontId="7" fillId="3" borderId="0" xfId="0" applyFont="1" applyFill="1" applyAlignment="1" applyProtection="1">
      <alignment vertical="center" wrapText="1"/>
      <protection locked="0"/>
    </xf>
    <xf numFmtId="0" fontId="8" fillId="4" borderId="0" xfId="0" applyFont="1" applyFill="1" applyAlignment="1" applyProtection="1">
      <alignment vertical="center" wrapText="1"/>
      <protection locked="0"/>
    </xf>
    <xf numFmtId="0" fontId="1" fillId="4" borderId="13" xfId="0" applyFont="1" applyFill="1" applyBorder="1" applyAlignment="1" applyProtection="1">
      <alignment vertical="center" wrapText="1"/>
      <protection locked="0"/>
    </xf>
    <xf numFmtId="0" fontId="1" fillId="4" borderId="0" xfId="0" applyFont="1" applyFill="1" applyAlignment="1" applyProtection="1">
      <alignment vertical="center" wrapText="1"/>
      <protection locked="0"/>
    </xf>
    <xf numFmtId="0" fontId="6" fillId="4" borderId="0" xfId="0" applyFont="1" applyFill="1" applyAlignment="1" applyProtection="1">
      <alignment vertical="center"/>
      <protection locked="0"/>
    </xf>
    <xf numFmtId="0" fontId="0" fillId="9" borderId="0" xfId="0" applyFill="1" applyProtection="1">
      <protection locked="0"/>
    </xf>
    <xf numFmtId="0" fontId="0" fillId="2" borderId="0" xfId="0" applyFill="1" applyAlignment="1">
      <alignment horizontal="center"/>
    </xf>
    <xf numFmtId="0" fontId="0" fillId="3" borderId="2" xfId="0" applyFill="1" applyBorder="1" applyAlignment="1">
      <alignment horizontal="center"/>
    </xf>
    <xf numFmtId="49" fontId="0" fillId="0" borderId="0" xfId="0" applyNumberFormat="1" applyAlignment="1">
      <alignment wrapText="1"/>
    </xf>
    <xf numFmtId="0" fontId="0" fillId="2" borderId="3" xfId="0" applyFill="1" applyBorder="1" applyAlignment="1">
      <alignment horizontal="center"/>
    </xf>
    <xf numFmtId="165" fontId="0" fillId="0" borderId="31" xfId="0" applyNumberFormat="1" applyBorder="1" applyAlignment="1">
      <alignment horizontal="center"/>
    </xf>
    <xf numFmtId="165" fontId="0" fillId="0" borderId="0" xfId="0" applyNumberFormat="1" applyAlignment="1">
      <alignment horizontal="center"/>
    </xf>
    <xf numFmtId="0" fontId="2" fillId="0" borderId="36" xfId="0" applyFont="1" applyBorder="1" applyAlignment="1">
      <alignment horizontal="center" vertical="center"/>
    </xf>
    <xf numFmtId="0" fontId="2" fillId="0" borderId="37" xfId="0" applyFont="1" applyBorder="1" applyAlignment="1">
      <alignment horizontal="center" vertical="center"/>
    </xf>
    <xf numFmtId="0" fontId="2" fillId="0" borderId="38" xfId="0" applyFont="1" applyBorder="1" applyAlignment="1">
      <alignment horizontal="left" vertical="center"/>
    </xf>
    <xf numFmtId="0" fontId="0" fillId="0" borderId="31" xfId="0" applyBorder="1" applyAlignment="1">
      <alignment horizontal="left" vertical="center"/>
    </xf>
    <xf numFmtId="0" fontId="0" fillId="0" borderId="28" xfId="0" applyBorder="1" applyAlignment="1">
      <alignment horizontal="left" vertical="center"/>
    </xf>
    <xf numFmtId="165" fontId="2" fillId="0" borderId="36" xfId="0" applyNumberFormat="1" applyFont="1" applyBorder="1" applyAlignment="1">
      <alignment horizontal="center" vertical="center"/>
    </xf>
    <xf numFmtId="165" fontId="0" fillId="0" borderId="32" xfId="0" applyNumberFormat="1" applyBorder="1" applyAlignment="1">
      <alignment horizontal="center" vertical="center"/>
    </xf>
    <xf numFmtId="165" fontId="0" fillId="0" borderId="25" xfId="0" applyNumberFormat="1" applyBorder="1" applyAlignment="1">
      <alignment horizontal="center" vertical="center"/>
    </xf>
    <xf numFmtId="0" fontId="2" fillId="0" borderId="32" xfId="0" applyFont="1" applyBorder="1" applyAlignment="1">
      <alignment horizontal="left" vertical="center"/>
    </xf>
    <xf numFmtId="165" fontId="2" fillId="0" borderId="32" xfId="0" applyNumberFormat="1" applyFont="1" applyBorder="1" applyAlignment="1">
      <alignment horizontal="center" vertical="center"/>
    </xf>
    <xf numFmtId="49" fontId="2" fillId="0" borderId="32" xfId="0" applyNumberFormat="1" applyFont="1" applyBorder="1" applyAlignment="1">
      <alignment horizontal="center" vertical="center"/>
    </xf>
    <xf numFmtId="49" fontId="0" fillId="0" borderId="29" xfId="0" applyNumberFormat="1" applyBorder="1" applyAlignment="1">
      <alignment horizontal="center" vertical="center"/>
    </xf>
    <xf numFmtId="49" fontId="0" fillId="0" borderId="26" xfId="0" applyNumberFormat="1" applyBorder="1" applyAlignment="1">
      <alignment horizontal="center" vertical="center"/>
    </xf>
    <xf numFmtId="0" fontId="9" fillId="0" borderId="32" xfId="0" applyFont="1" applyBorder="1" applyAlignment="1">
      <alignment horizontal="left"/>
    </xf>
    <xf numFmtId="0" fontId="9" fillId="0" borderId="32" xfId="0" applyFont="1" applyBorder="1" applyAlignment="1">
      <alignment horizontal="center"/>
    </xf>
    <xf numFmtId="0" fontId="0" fillId="0" borderId="32" xfId="0" applyBorder="1" applyAlignment="1">
      <alignment horizontal="left"/>
    </xf>
    <xf numFmtId="14" fontId="0" fillId="0" borderId="32" xfId="0" applyNumberFormat="1" applyBorder="1" applyAlignment="1">
      <alignment horizontal="center"/>
    </xf>
    <xf numFmtId="0" fontId="8" fillId="4" borderId="2" xfId="0" applyFont="1" applyFill="1" applyBorder="1" applyAlignment="1" applyProtection="1">
      <alignment horizontal="left" vertical="center" wrapText="1"/>
      <protection locked="0"/>
    </xf>
    <xf numFmtId="0" fontId="0" fillId="10" borderId="2" xfId="0" applyFill="1" applyBorder="1" applyAlignment="1">
      <alignment horizontal="center" vertical="center" wrapText="1"/>
    </xf>
    <xf numFmtId="0" fontId="27" fillId="10" borderId="2" xfId="0" applyFont="1" applyFill="1" applyBorder="1" applyAlignment="1">
      <alignment horizontal="center" vertical="center" wrapText="1"/>
    </xf>
    <xf numFmtId="0" fontId="8" fillId="4" borderId="7" xfId="0" applyFont="1" applyFill="1" applyBorder="1" applyAlignment="1" applyProtection="1">
      <alignment horizontal="center" vertical="center" wrapText="1"/>
      <protection locked="0"/>
    </xf>
    <xf numFmtId="0" fontId="8" fillId="4" borderId="8" xfId="0" applyFont="1" applyFill="1" applyBorder="1" applyAlignment="1" applyProtection="1">
      <alignment horizontal="center" vertical="center" wrapText="1"/>
      <protection locked="0"/>
    </xf>
    <xf numFmtId="0" fontId="8" fillId="4" borderId="4" xfId="0" applyFont="1" applyFill="1" applyBorder="1" applyAlignment="1" applyProtection="1">
      <alignment horizontal="center" vertical="center" wrapText="1"/>
      <protection locked="0"/>
    </xf>
    <xf numFmtId="0" fontId="8" fillId="4" borderId="14" xfId="0" applyFont="1" applyFill="1" applyBorder="1" applyAlignment="1" applyProtection="1">
      <alignment horizontal="center" vertical="center" wrapText="1"/>
      <protection locked="0"/>
    </xf>
    <xf numFmtId="0" fontId="8" fillId="4" borderId="9" xfId="0" applyFont="1" applyFill="1" applyBorder="1" applyAlignment="1" applyProtection="1">
      <alignment horizontal="center" vertical="center" wrapText="1"/>
      <protection locked="0"/>
    </xf>
    <xf numFmtId="0" fontId="8" fillId="4" borderId="10" xfId="0" applyFont="1" applyFill="1" applyBorder="1" applyAlignment="1" applyProtection="1">
      <alignment horizontal="center" vertical="center" wrapText="1"/>
      <protection locked="0"/>
    </xf>
    <xf numFmtId="14" fontId="11" fillId="10" borderId="7" xfId="0" applyNumberFormat="1" applyFont="1" applyFill="1" applyBorder="1" applyAlignment="1">
      <alignment horizontal="center" vertical="center" wrapText="1"/>
    </xf>
    <xf numFmtId="0" fontId="11" fillId="10" borderId="8" xfId="0" applyFont="1" applyFill="1" applyBorder="1" applyAlignment="1">
      <alignment horizontal="center" vertical="center" wrapText="1"/>
    </xf>
    <xf numFmtId="0" fontId="11" fillId="10" borderId="4" xfId="0" applyFont="1" applyFill="1" applyBorder="1" applyAlignment="1">
      <alignment horizontal="center" vertical="center" wrapText="1"/>
    </xf>
    <xf numFmtId="0" fontId="11" fillId="10" borderId="14" xfId="0" applyFont="1" applyFill="1" applyBorder="1" applyAlignment="1">
      <alignment horizontal="center" vertical="center" wrapText="1"/>
    </xf>
    <xf numFmtId="0" fontId="11" fillId="10" borderId="9" xfId="0" applyFont="1" applyFill="1" applyBorder="1" applyAlignment="1">
      <alignment horizontal="center" vertical="center" wrapText="1"/>
    </xf>
    <xf numFmtId="0" fontId="11" fillId="10" borderId="10" xfId="0" applyFont="1" applyFill="1" applyBorder="1" applyAlignment="1">
      <alignment horizontal="center" vertical="center" wrapText="1"/>
    </xf>
    <xf numFmtId="0" fontId="23" fillId="3" borderId="0" xfId="0" applyFont="1" applyFill="1" applyAlignment="1">
      <alignment horizontal="center" vertical="center"/>
    </xf>
    <xf numFmtId="0" fontId="0" fillId="12" borderId="0" xfId="0" applyFill="1" applyAlignment="1" applyProtection="1">
      <alignment horizontal="center"/>
      <protection locked="0"/>
    </xf>
    <xf numFmtId="0" fontId="0" fillId="10" borderId="2" xfId="0" applyFill="1" applyBorder="1" applyAlignment="1">
      <alignment horizontal="center" vertical="center"/>
    </xf>
    <xf numFmtId="0" fontId="27" fillId="10" borderId="2" xfId="0" applyFont="1" applyFill="1" applyBorder="1" applyAlignment="1">
      <alignment horizontal="center" vertical="center"/>
    </xf>
    <xf numFmtId="0" fontId="28" fillId="3" borderId="0" xfId="0" applyFont="1" applyFill="1" applyAlignment="1">
      <alignment horizontal="center" wrapText="1"/>
    </xf>
    <xf numFmtId="0" fontId="1" fillId="4" borderId="0" xfId="0" applyFont="1" applyFill="1" applyAlignment="1" applyProtection="1">
      <alignment horizontal="center" vertical="center" wrapText="1"/>
      <protection locked="0"/>
    </xf>
    <xf numFmtId="0" fontId="23" fillId="10" borderId="6" xfId="0" applyFont="1" applyFill="1" applyBorder="1" applyAlignment="1">
      <alignment horizontal="center" vertical="center" wrapText="1"/>
    </xf>
    <xf numFmtId="0" fontId="23" fillId="10" borderId="39" xfId="0" applyFont="1" applyFill="1" applyBorder="1" applyAlignment="1">
      <alignment horizontal="center" vertical="center" wrapText="1"/>
    </xf>
    <xf numFmtId="0" fontId="23" fillId="10" borderId="11"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9" fillId="10" borderId="8" xfId="0" applyFont="1" applyFill="1" applyBorder="1" applyAlignment="1">
      <alignment horizontal="center" vertical="center" wrapText="1"/>
    </xf>
    <xf numFmtId="0" fontId="9" fillId="10" borderId="4" xfId="0" applyFont="1" applyFill="1" applyBorder="1" applyAlignment="1">
      <alignment horizontal="center" vertical="center" wrapText="1"/>
    </xf>
    <xf numFmtId="0" fontId="9" fillId="10" borderId="14" xfId="0" applyFont="1" applyFill="1" applyBorder="1" applyAlignment="1">
      <alignment horizontal="center" vertical="center" wrapText="1"/>
    </xf>
    <xf numFmtId="0" fontId="9" fillId="10" borderId="9" xfId="0" applyFont="1" applyFill="1" applyBorder="1" applyAlignment="1">
      <alignment horizontal="center" vertical="center" wrapText="1"/>
    </xf>
    <xf numFmtId="0" fontId="9" fillId="10" borderId="10" xfId="0" applyFont="1" applyFill="1" applyBorder="1" applyAlignment="1">
      <alignment horizontal="center" vertical="center" wrapText="1"/>
    </xf>
    <xf numFmtId="0" fontId="9" fillId="10" borderId="2" xfId="0" applyFont="1" applyFill="1" applyBorder="1" applyAlignment="1">
      <alignment horizontal="center" vertical="center" wrapText="1"/>
    </xf>
    <xf numFmtId="0" fontId="30" fillId="12" borderId="0" xfId="0" applyFont="1" applyFill="1" applyAlignment="1" applyProtection="1">
      <alignment horizontal="center" wrapText="1"/>
      <protection locked="0"/>
    </xf>
    <xf numFmtId="0" fontId="1" fillId="4" borderId="13" xfId="0" applyFont="1" applyFill="1" applyBorder="1" applyAlignment="1" applyProtection="1">
      <alignment horizontal="left" vertical="center" wrapText="1"/>
      <protection locked="0"/>
    </xf>
    <xf numFmtId="0" fontId="1" fillId="4" borderId="0" xfId="0" applyFont="1" applyFill="1" applyAlignment="1" applyProtection="1">
      <alignment horizontal="left" vertical="center" wrapText="1"/>
      <protection locked="0"/>
    </xf>
    <xf numFmtId="14" fontId="0" fillId="10" borderId="7" xfId="0" applyNumberFormat="1" applyFill="1" applyBorder="1" applyAlignment="1">
      <alignment horizontal="center" vertical="center" wrapText="1"/>
    </xf>
    <xf numFmtId="14" fontId="11" fillId="10" borderId="8" xfId="0" applyNumberFormat="1" applyFont="1" applyFill="1" applyBorder="1" applyAlignment="1">
      <alignment horizontal="center" vertical="center" wrapText="1"/>
    </xf>
    <xf numFmtId="14" fontId="11" fillId="10" borderId="4" xfId="0" applyNumberFormat="1" applyFont="1" applyFill="1" applyBorder="1" applyAlignment="1">
      <alignment horizontal="center" vertical="center" wrapText="1"/>
    </xf>
    <xf numFmtId="14" fontId="11" fillId="10" borderId="14" xfId="0" applyNumberFormat="1" applyFont="1" applyFill="1" applyBorder="1" applyAlignment="1">
      <alignment horizontal="center" vertical="center" wrapText="1"/>
    </xf>
    <xf numFmtId="14" fontId="11" fillId="10" borderId="9" xfId="0" applyNumberFormat="1" applyFont="1" applyFill="1" applyBorder="1" applyAlignment="1">
      <alignment horizontal="center" vertical="center" wrapText="1"/>
    </xf>
    <xf numFmtId="14" fontId="11" fillId="10" borderId="10" xfId="0" applyNumberFormat="1" applyFont="1" applyFill="1" applyBorder="1" applyAlignment="1">
      <alignment horizontal="center" vertical="center" wrapText="1"/>
    </xf>
    <xf numFmtId="14" fontId="9" fillId="3" borderId="22" xfId="0" applyNumberFormat="1" applyFont="1" applyFill="1" applyBorder="1" applyAlignment="1" applyProtection="1">
      <alignment horizontal="center" vertical="center"/>
      <protection locked="0"/>
    </xf>
    <xf numFmtId="14" fontId="9" fillId="3" borderId="23" xfId="0" applyNumberFormat="1" applyFont="1" applyFill="1" applyBorder="1" applyAlignment="1" applyProtection="1">
      <alignment horizontal="center" vertical="center"/>
      <protection locked="0"/>
    </xf>
    <xf numFmtId="0" fontId="36" fillId="4" borderId="0" xfId="0" applyFont="1" applyFill="1" applyAlignment="1" applyProtection="1">
      <alignment horizontal="center"/>
      <protection locked="0"/>
    </xf>
    <xf numFmtId="164" fontId="0" fillId="4" borderId="0" xfId="0" applyNumberFormat="1" applyFill="1" applyAlignment="1" applyProtection="1">
      <alignment horizontal="center"/>
      <protection locked="0"/>
    </xf>
    <xf numFmtId="0" fontId="2" fillId="3" borderId="0" xfId="0" applyFont="1" applyFill="1" applyAlignment="1">
      <alignment horizontal="center" vertical="center"/>
    </xf>
    <xf numFmtId="14" fontId="9" fillId="3" borderId="24" xfId="0" applyNumberFormat="1" applyFont="1" applyFill="1" applyBorder="1" applyAlignment="1" applyProtection="1">
      <alignment horizontal="center" vertical="center"/>
      <protection locked="0"/>
    </xf>
    <xf numFmtId="0" fontId="5" fillId="4" borderId="16" xfId="0" applyFont="1" applyFill="1" applyBorder="1" applyAlignment="1" applyProtection="1">
      <alignment horizontal="center" vertical="center" wrapText="1"/>
      <protection locked="0"/>
    </xf>
    <xf numFmtId="0" fontId="5" fillId="4" borderId="17" xfId="0" applyFont="1" applyFill="1" applyBorder="1" applyAlignment="1" applyProtection="1">
      <alignment horizontal="center" vertical="center" wrapText="1"/>
      <protection locked="0"/>
    </xf>
    <xf numFmtId="0" fontId="5" fillId="4" borderId="18" xfId="0" applyFont="1" applyFill="1" applyBorder="1" applyAlignment="1" applyProtection="1">
      <alignment horizontal="center" vertical="center" wrapText="1"/>
      <protection locked="0"/>
    </xf>
    <xf numFmtId="0" fontId="5" fillId="4" borderId="19" xfId="0" applyFont="1" applyFill="1" applyBorder="1" applyAlignment="1" applyProtection="1">
      <alignment horizontal="center" vertical="center" wrapText="1"/>
      <protection locked="0"/>
    </xf>
    <xf numFmtId="0" fontId="5" fillId="4" borderId="0" xfId="0" applyFont="1" applyFill="1" applyAlignment="1" applyProtection="1">
      <alignment horizontal="center" vertical="center" wrapText="1"/>
      <protection locked="0"/>
    </xf>
    <xf numFmtId="0" fontId="5" fillId="4" borderId="20" xfId="0" applyFont="1" applyFill="1" applyBorder="1" applyAlignment="1" applyProtection="1">
      <alignment horizontal="center" vertical="center" wrapText="1"/>
      <protection locked="0"/>
    </xf>
    <xf numFmtId="0" fontId="5" fillId="4" borderId="0" xfId="0" applyFont="1" applyFill="1" applyAlignment="1" applyProtection="1">
      <alignment horizontal="center" wrapText="1"/>
      <protection locked="0"/>
    </xf>
    <xf numFmtId="0" fontId="5" fillId="4" borderId="9" xfId="0" applyFont="1" applyFill="1" applyBorder="1" applyAlignment="1" applyProtection="1">
      <alignment horizontal="center" wrapText="1"/>
      <protection locked="0"/>
    </xf>
    <xf numFmtId="0" fontId="0" fillId="10" borderId="6" xfId="0" applyFill="1" applyBorder="1" applyAlignment="1">
      <alignment horizontal="center" vertical="center" wrapText="1"/>
    </xf>
    <xf numFmtId="0" fontId="0" fillId="10" borderId="39" xfId="0" applyFill="1" applyBorder="1" applyAlignment="1">
      <alignment horizontal="center" vertical="center" wrapText="1"/>
    </xf>
    <xf numFmtId="0" fontId="0" fillId="10" borderId="11" xfId="0" applyFill="1" applyBorder="1" applyAlignment="1">
      <alignment horizontal="center" vertical="center" wrapText="1"/>
    </xf>
    <xf numFmtId="0" fontId="8" fillId="4" borderId="6" xfId="0" applyFont="1" applyFill="1" applyBorder="1" applyAlignment="1" applyProtection="1">
      <alignment horizontal="left" vertical="center" wrapText="1"/>
      <protection locked="0"/>
    </xf>
    <xf numFmtId="0" fontId="8" fillId="4" borderId="39" xfId="0" applyFont="1" applyFill="1" applyBorder="1" applyAlignment="1" applyProtection="1">
      <alignment horizontal="left" vertical="center" wrapText="1"/>
      <protection locked="0"/>
    </xf>
    <xf numFmtId="0" fontId="8" fillId="4" borderId="11" xfId="0" applyFont="1" applyFill="1" applyBorder="1" applyAlignment="1" applyProtection="1">
      <alignment horizontal="left" vertical="center" wrapText="1"/>
      <protection locked="0"/>
    </xf>
    <xf numFmtId="0" fontId="9" fillId="2" borderId="2" xfId="0" applyFont="1" applyFill="1" applyBorder="1" applyAlignment="1" applyProtection="1">
      <alignment horizontal="center" vertical="center" wrapText="1"/>
      <protection locked="0"/>
    </xf>
    <xf numFmtId="1" fontId="1" fillId="4" borderId="0" xfId="0" applyNumberFormat="1" applyFont="1" applyFill="1" applyAlignment="1" applyProtection="1">
      <alignment horizontal="left" vertical="center"/>
      <protection locked="0"/>
    </xf>
    <xf numFmtId="0" fontId="8" fillId="4" borderId="7" xfId="0" applyFont="1" applyFill="1" applyBorder="1" applyAlignment="1" applyProtection="1">
      <alignment horizontal="left" vertical="center" wrapText="1"/>
      <protection locked="0"/>
    </xf>
    <xf numFmtId="0" fontId="8" fillId="4" borderId="8" xfId="0" applyFont="1" applyFill="1" applyBorder="1" applyAlignment="1" applyProtection="1">
      <alignment horizontal="left" vertical="center" wrapText="1"/>
      <protection locked="0"/>
    </xf>
    <xf numFmtId="0" fontId="8" fillId="4" borderId="4" xfId="0" applyFont="1" applyFill="1" applyBorder="1" applyAlignment="1" applyProtection="1">
      <alignment horizontal="left" vertical="center" wrapText="1"/>
      <protection locked="0"/>
    </xf>
    <xf numFmtId="0" fontId="8" fillId="4" borderId="14" xfId="0" applyFont="1" applyFill="1" applyBorder="1" applyAlignment="1" applyProtection="1">
      <alignment horizontal="left" vertical="center" wrapText="1"/>
      <protection locked="0"/>
    </xf>
    <xf numFmtId="0" fontId="8" fillId="4" borderId="9" xfId="0" applyFont="1" applyFill="1" applyBorder="1" applyAlignment="1" applyProtection="1">
      <alignment horizontal="left" vertical="center" wrapText="1"/>
      <protection locked="0"/>
    </xf>
    <xf numFmtId="0" fontId="8" fillId="4" borderId="10" xfId="0" applyFont="1" applyFill="1" applyBorder="1" applyAlignment="1" applyProtection="1">
      <alignment horizontal="left" vertical="center" wrapText="1"/>
      <protection locked="0"/>
    </xf>
    <xf numFmtId="164" fontId="0" fillId="2" borderId="0" xfId="0" applyNumberFormat="1" applyFill="1" applyAlignment="1">
      <alignment horizontal="center"/>
    </xf>
    <xf numFmtId="0" fontId="21" fillId="0" borderId="29" xfId="0" applyFont="1" applyBorder="1" applyAlignment="1">
      <alignment horizontal="center" vertical="center"/>
    </xf>
    <xf numFmtId="0" fontId="21" fillId="0" borderId="30" xfId="0" applyFont="1" applyBorder="1" applyAlignment="1">
      <alignment horizontal="center" vertical="center"/>
    </xf>
    <xf numFmtId="0" fontId="21" fillId="0" borderId="31" xfId="0" applyFont="1" applyBorder="1" applyAlignment="1">
      <alignment horizontal="center" vertical="center"/>
    </xf>
    <xf numFmtId="0" fontId="18" fillId="0" borderId="26" xfId="0" applyFont="1" applyBorder="1" applyAlignment="1">
      <alignment horizontal="center" vertical="center"/>
    </xf>
    <xf numFmtId="0" fontId="18" fillId="0" borderId="37" xfId="0" applyFont="1" applyBorder="1" applyAlignment="1">
      <alignment horizontal="center" vertical="center"/>
    </xf>
    <xf numFmtId="14" fontId="20" fillId="0" borderId="27" xfId="0" applyNumberFormat="1" applyFont="1" applyBorder="1" applyAlignment="1">
      <alignment horizontal="left" vertical="center"/>
    </xf>
    <xf numFmtId="14" fontId="20" fillId="0" borderId="28" xfId="0" applyNumberFormat="1" applyFont="1" applyBorder="1" applyAlignment="1">
      <alignment horizontal="left" vertical="center"/>
    </xf>
    <xf numFmtId="14" fontId="20" fillId="0" borderId="1" xfId="0" applyNumberFormat="1" applyFont="1" applyBorder="1" applyAlignment="1">
      <alignment horizontal="left" vertical="center"/>
    </xf>
    <xf numFmtId="14" fontId="20" fillId="0" borderId="38" xfId="0" applyNumberFormat="1" applyFont="1" applyBorder="1" applyAlignment="1">
      <alignment horizontal="left" vertical="center"/>
    </xf>
    <xf numFmtId="0" fontId="31" fillId="0" borderId="26" xfId="0" applyFont="1" applyBorder="1" applyAlignment="1">
      <alignment horizontal="center" vertical="center"/>
    </xf>
    <xf numFmtId="0" fontId="32" fillId="0" borderId="27" xfId="0" applyFont="1" applyBorder="1" applyAlignment="1">
      <alignment horizontal="center" vertical="center"/>
    </xf>
    <xf numFmtId="0" fontId="32" fillId="0" borderId="28" xfId="0" applyFont="1" applyBorder="1" applyAlignment="1">
      <alignment horizontal="center" vertical="center"/>
    </xf>
    <xf numFmtId="0" fontId="32" fillId="0" borderId="37" xfId="0" applyFont="1" applyBorder="1" applyAlignment="1">
      <alignment horizontal="center" vertical="center"/>
    </xf>
    <xf numFmtId="0" fontId="32" fillId="0" borderId="1" xfId="0" applyFont="1" applyBorder="1" applyAlignment="1">
      <alignment horizontal="center" vertical="center"/>
    </xf>
    <xf numFmtId="0" fontId="32" fillId="0" borderId="38" xfId="0" applyFont="1" applyBorder="1" applyAlignment="1">
      <alignment horizontal="center" vertical="center"/>
    </xf>
    <xf numFmtId="0" fontId="15" fillId="0" borderId="32" xfId="0" applyFont="1" applyBorder="1" applyAlignment="1">
      <alignment horizontal="center"/>
    </xf>
    <xf numFmtId="0" fontId="21" fillId="0" borderId="32" xfId="0" applyFont="1" applyBorder="1" applyAlignment="1">
      <alignment horizontal="center" vertical="center"/>
    </xf>
    <xf numFmtId="14" fontId="20" fillId="0" borderId="32" xfId="0" applyNumberFormat="1" applyFont="1" applyBorder="1" applyAlignment="1" applyProtection="1">
      <alignment horizontal="center" vertical="center"/>
      <protection locked="0"/>
    </xf>
    <xf numFmtId="0" fontId="20" fillId="0" borderId="32" xfId="0" applyFont="1" applyBorder="1" applyAlignment="1" applyProtection="1">
      <alignment horizontal="center" vertical="center"/>
      <protection locked="0"/>
    </xf>
    <xf numFmtId="0" fontId="21" fillId="0" borderId="29" xfId="0" applyFont="1" applyBorder="1" applyAlignment="1">
      <alignment horizontal="left" vertical="center" wrapText="1"/>
    </xf>
    <xf numFmtId="0" fontId="21" fillId="0" borderId="30" xfId="0" applyFont="1" applyBorder="1" applyAlignment="1">
      <alignment horizontal="left" vertical="center" wrapText="1"/>
    </xf>
    <xf numFmtId="0" fontId="21" fillId="0" borderId="31" xfId="0" applyFont="1" applyBorder="1" applyAlignment="1">
      <alignment horizontal="left" vertical="center" wrapText="1"/>
    </xf>
    <xf numFmtId="0" fontId="20" fillId="0" borderId="32" xfId="0" applyFont="1" applyBorder="1" applyAlignment="1">
      <alignment horizontal="center" vertical="center"/>
    </xf>
    <xf numFmtId="0" fontId="21" fillId="0" borderId="29" xfId="0" applyFont="1" applyBorder="1" applyAlignment="1">
      <alignment horizontal="left" vertical="center"/>
    </xf>
    <xf numFmtId="0" fontId="21" fillId="0" borderId="30" xfId="0" applyFont="1" applyBorder="1" applyAlignment="1">
      <alignment horizontal="left" vertical="center"/>
    </xf>
    <xf numFmtId="0" fontId="21" fillId="0" borderId="31" xfId="0" applyFont="1" applyBorder="1" applyAlignment="1">
      <alignment horizontal="left" vertical="center"/>
    </xf>
    <xf numFmtId="0" fontId="15" fillId="11" borderId="29" xfId="0" applyFont="1" applyFill="1" applyBorder="1" applyAlignment="1">
      <alignment horizontal="center"/>
    </xf>
    <xf numFmtId="0" fontId="15" fillId="11" borderId="30" xfId="0" applyFont="1" applyFill="1" applyBorder="1" applyAlignment="1">
      <alignment horizontal="center"/>
    </xf>
    <xf numFmtId="0" fontId="32" fillId="0" borderId="34" xfId="0" applyFont="1" applyBorder="1" applyAlignment="1">
      <alignment horizontal="center" vertical="center"/>
    </xf>
    <xf numFmtId="0" fontId="32" fillId="0" borderId="0" xfId="0" applyFont="1" applyAlignment="1">
      <alignment horizontal="center" vertical="center"/>
    </xf>
    <xf numFmtId="0" fontId="32" fillId="0" borderId="35" xfId="0" applyFont="1" applyBorder="1" applyAlignment="1">
      <alignment horizontal="center" vertical="center"/>
    </xf>
    <xf numFmtId="0" fontId="22" fillId="0" borderId="25" xfId="0" applyFont="1" applyBorder="1" applyAlignment="1">
      <alignment horizontal="left" vertical="center"/>
    </xf>
    <xf numFmtId="0" fontId="22" fillId="0" borderId="33" xfId="0" applyFont="1" applyBorder="1" applyAlignment="1">
      <alignment horizontal="left" vertical="center"/>
    </xf>
    <xf numFmtId="0" fontId="22" fillId="0" borderId="36" xfId="0" applyFont="1" applyBorder="1" applyAlignment="1">
      <alignment horizontal="left" vertical="center"/>
    </xf>
    <xf numFmtId="0" fontId="15" fillId="0" borderId="25" xfId="0" applyFont="1" applyBorder="1" applyAlignment="1">
      <alignment horizontal="left" vertical="center" wrapText="1"/>
    </xf>
    <xf numFmtId="0" fontId="15" fillId="0" borderId="25" xfId="0" applyFont="1" applyBorder="1" applyAlignment="1">
      <alignment horizontal="left" vertical="center"/>
    </xf>
    <xf numFmtId="0" fontId="15" fillId="0" borderId="33" xfId="0" applyFont="1" applyBorder="1" applyAlignment="1">
      <alignment horizontal="left" vertical="center"/>
    </xf>
    <xf numFmtId="0" fontId="15" fillId="0" borderId="36" xfId="0" applyFont="1" applyBorder="1" applyAlignment="1">
      <alignment horizontal="left" vertical="center"/>
    </xf>
    <xf numFmtId="0" fontId="15" fillId="11" borderId="29" xfId="0" applyFont="1" applyFill="1" applyBorder="1" applyAlignment="1">
      <alignment horizontal="left"/>
    </xf>
    <xf numFmtId="0" fontId="15" fillId="11" borderId="30" xfId="0" applyFont="1" applyFill="1" applyBorder="1" applyAlignment="1">
      <alignment horizontal="left"/>
    </xf>
    <xf numFmtId="0" fontId="17" fillId="11" borderId="29" xfId="0" applyFont="1" applyFill="1" applyBorder="1" applyAlignment="1">
      <alignment horizontal="left"/>
    </xf>
    <xf numFmtId="0" fontId="17" fillId="11" borderId="30" xfId="0" applyFont="1" applyFill="1" applyBorder="1" applyAlignment="1">
      <alignment horizontal="left"/>
    </xf>
    <xf numFmtId="0" fontId="17" fillId="11" borderId="31" xfId="0" applyFont="1" applyFill="1" applyBorder="1" applyAlignment="1">
      <alignment horizontal="left"/>
    </xf>
    <xf numFmtId="0" fontId="18" fillId="0" borderId="32" xfId="0" applyFont="1" applyBorder="1" applyAlignment="1" applyProtection="1">
      <alignment horizontal="center" vertical="center" wrapText="1"/>
      <protection locked="0"/>
    </xf>
    <xf numFmtId="0" fontId="15" fillId="0" borderId="29" xfId="0" applyFont="1" applyBorder="1" applyAlignment="1">
      <alignment horizontal="center" vertical="center"/>
    </xf>
    <xf numFmtId="0" fontId="15" fillId="0" borderId="30" xfId="0" applyFont="1" applyBorder="1" applyAlignment="1">
      <alignment horizontal="center" vertical="center"/>
    </xf>
    <xf numFmtId="0" fontId="15" fillId="0" borderId="31" xfId="0" applyFont="1" applyBorder="1" applyAlignment="1">
      <alignment horizontal="center" vertical="center"/>
    </xf>
    <xf numFmtId="0" fontId="18" fillId="0" borderId="32" xfId="0" applyFont="1" applyBorder="1" applyAlignment="1">
      <alignment horizontal="center" vertical="center" wrapText="1"/>
    </xf>
    <xf numFmtId="0" fontId="15" fillId="0" borderId="29" xfId="0" applyFont="1" applyBorder="1" applyAlignment="1">
      <alignment horizontal="left" vertical="center" wrapText="1"/>
    </xf>
    <xf numFmtId="0" fontId="15" fillId="0" borderId="30" xfId="0" applyFont="1" applyBorder="1" applyAlignment="1">
      <alignment horizontal="left" vertical="center"/>
    </xf>
    <xf numFmtId="0" fontId="15" fillId="0" borderId="31" xfId="0" applyFont="1" applyBorder="1" applyAlignment="1">
      <alignment horizontal="left" vertical="center"/>
    </xf>
    <xf numFmtId="0" fontId="15" fillId="0" borderId="29" xfId="0" applyFont="1" applyBorder="1" applyAlignment="1">
      <alignment horizontal="left" vertical="center"/>
    </xf>
    <xf numFmtId="14" fontId="18" fillId="0" borderId="32" xfId="0" applyNumberFormat="1" applyFont="1" applyBorder="1" applyAlignment="1">
      <alignment horizontal="center" vertical="center"/>
    </xf>
    <xf numFmtId="0" fontId="18" fillId="0" borderId="29" xfId="0" applyFont="1" applyBorder="1" applyAlignment="1">
      <alignment horizontal="center" vertical="center"/>
    </xf>
    <xf numFmtId="0" fontId="18" fillId="0" borderId="30" xfId="0" applyFont="1" applyBorder="1" applyAlignment="1">
      <alignment horizontal="center" vertical="center"/>
    </xf>
    <xf numFmtId="0" fontId="18" fillId="0" borderId="31" xfId="0" applyFont="1" applyBorder="1" applyAlignment="1">
      <alignment horizontal="center" vertical="center"/>
    </xf>
    <xf numFmtId="0" fontId="15" fillId="0" borderId="25" xfId="0" applyFont="1" applyBorder="1" applyAlignment="1">
      <alignment horizontal="center" vertical="center"/>
    </xf>
    <xf numFmtId="0" fontId="15" fillId="0" borderId="33" xfId="0" applyFont="1" applyBorder="1" applyAlignment="1">
      <alignment horizontal="center" vertical="center"/>
    </xf>
    <xf numFmtId="0" fontId="15" fillId="0" borderId="36" xfId="0" applyFont="1" applyBorder="1" applyAlignment="1">
      <alignment horizontal="center" vertical="center"/>
    </xf>
    <xf numFmtId="0" fontId="16" fillId="0" borderId="26" xfId="0" applyFont="1" applyBorder="1" applyAlignment="1">
      <alignment horizontal="center" vertical="center" wrapText="1"/>
    </xf>
    <xf numFmtId="0" fontId="16" fillId="0" borderId="27" xfId="0" applyFont="1" applyBorder="1" applyAlignment="1">
      <alignment horizontal="center" vertical="center" wrapText="1"/>
    </xf>
    <xf numFmtId="0" fontId="16" fillId="0" borderId="28" xfId="0" applyFont="1" applyBorder="1" applyAlignment="1">
      <alignment horizontal="center" vertical="center" wrapText="1"/>
    </xf>
    <xf numFmtId="0" fontId="16" fillId="0" borderId="34" xfId="0" applyFont="1" applyBorder="1" applyAlignment="1">
      <alignment horizontal="center" vertical="center" wrapText="1"/>
    </xf>
    <xf numFmtId="0" fontId="16" fillId="0" borderId="0" xfId="0" applyFont="1" applyAlignment="1">
      <alignment horizontal="center" vertical="center" wrapText="1"/>
    </xf>
    <xf numFmtId="0" fontId="16" fillId="0" borderId="35"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1" xfId="0" applyFont="1" applyBorder="1" applyAlignment="1">
      <alignment horizontal="center" vertical="center" wrapText="1"/>
    </xf>
    <xf numFmtId="0" fontId="16" fillId="0" borderId="38" xfId="0" applyFont="1" applyBorder="1" applyAlignment="1">
      <alignment horizontal="center" vertical="center" wrapText="1"/>
    </xf>
    <xf numFmtId="0" fontId="15" fillId="0" borderId="29" xfId="0" applyFont="1" applyBorder="1" applyAlignment="1">
      <alignment horizontal="left"/>
    </xf>
    <xf numFmtId="0" fontId="15" fillId="0" borderId="30" xfId="0" applyFont="1" applyBorder="1" applyAlignment="1">
      <alignment horizontal="left"/>
    </xf>
    <xf numFmtId="0" fontId="15" fillId="0" borderId="31" xfId="0" applyFont="1" applyBorder="1" applyAlignment="1">
      <alignment horizontal="left"/>
    </xf>
    <xf numFmtId="0" fontId="24" fillId="0" borderId="0" xfId="0" applyFont="1" applyAlignment="1">
      <alignment horizontal="center"/>
    </xf>
    <xf numFmtId="0" fontId="26" fillId="0" borderId="0" xfId="0" applyFont="1" applyAlignment="1">
      <alignment horizontal="left" vertical="center" wrapText="1"/>
    </xf>
    <xf numFmtId="0" fontId="34" fillId="0" borderId="0" xfId="0" applyFont="1" applyAlignment="1">
      <alignment horizontal="center" vertical="top"/>
    </xf>
    <xf numFmtId="3" fontId="35" fillId="0" borderId="0" xfId="0" applyNumberFormat="1" applyFont="1" applyAlignment="1">
      <alignment horizontal="left"/>
    </xf>
    <xf numFmtId="0" fontId="0" fillId="0" borderId="0" xfId="0" applyAlignment="1">
      <alignment horizontal="center"/>
    </xf>
    <xf numFmtId="165" fontId="35" fillId="0" borderId="0" xfId="0" applyNumberFormat="1" applyFont="1" applyAlignment="1">
      <alignment horizontal="left"/>
    </xf>
    <xf numFmtId="14" fontId="35" fillId="0" borderId="0" xfId="0" applyNumberFormat="1" applyFont="1" applyAlignment="1">
      <alignment horizontal="left"/>
    </xf>
    <xf numFmtId="0" fontId="0" fillId="0" borderId="2" xfId="0" applyBorder="1" applyAlignment="1">
      <alignment horizontal="left" vertical="center" wrapText="1"/>
    </xf>
    <xf numFmtId="0" fontId="1" fillId="5" borderId="2" xfId="0" applyFont="1" applyFill="1" applyBorder="1" applyAlignment="1">
      <alignment horizontal="center" vertical="center"/>
    </xf>
    <xf numFmtId="0" fontId="0" fillId="2" borderId="0" xfId="0" applyFill="1" applyBorder="1"/>
    <xf numFmtId="0" fontId="0" fillId="12" borderId="2" xfId="0" applyFill="1" applyBorder="1"/>
  </cellXfs>
  <cellStyles count="1">
    <cellStyle name="Normal" xfId="0" builtinId="0"/>
  </cellStyles>
  <dxfs count="120">
    <dxf>
      <font>
        <color rgb="FF9C0006"/>
      </font>
      <fill>
        <patternFill>
          <bgColor rgb="FFFFC7CE"/>
        </patternFill>
      </fill>
    </dxf>
    <dxf>
      <font>
        <color rgb="FF9C0006"/>
      </font>
      <fill>
        <patternFill>
          <bgColor rgb="FFFFC7CE"/>
        </patternFill>
      </fill>
    </dxf>
    <dxf>
      <font>
        <b/>
        <i val="0"/>
        <color rgb="FFFF0000"/>
      </font>
    </dxf>
    <dxf>
      <font>
        <color rgb="FF9C0006"/>
      </font>
      <fill>
        <patternFill>
          <bgColor rgb="FFFFC7CE"/>
        </patternFill>
      </fill>
    </dxf>
    <dxf>
      <font>
        <b/>
        <i val="0"/>
        <color rgb="FFFF0000"/>
      </font>
    </dxf>
    <dxf>
      <font>
        <b/>
        <i val="0"/>
        <color theme="0"/>
      </font>
      <fill>
        <patternFill>
          <bgColor rgb="FFFF0000"/>
        </patternFill>
      </fill>
    </dxf>
    <dxf>
      <font>
        <b/>
        <i val="0"/>
        <color theme="0"/>
      </font>
      <fill>
        <patternFill>
          <bgColor theme="9" tint="-0.24994659260841701"/>
        </patternFill>
      </fill>
    </dxf>
    <dxf>
      <font>
        <color rgb="FFFF0000"/>
      </font>
    </dxf>
    <dxf>
      <font>
        <color rgb="FFFF0000"/>
      </font>
    </dxf>
    <dxf>
      <font>
        <b/>
        <i val="0"/>
        <color rgb="FFFF0000"/>
      </font>
    </dxf>
    <dxf>
      <font>
        <b/>
        <i val="0"/>
        <strike val="0"/>
        <condense val="0"/>
        <extend val="0"/>
        <outline val="0"/>
        <shadow val="0"/>
        <u val="none"/>
        <vertAlign val="baseline"/>
        <sz val="11"/>
        <color theme="1"/>
        <name val="Calibri"/>
        <family val="2"/>
        <charset val="162"/>
        <scheme val="minor"/>
      </font>
      <fill>
        <patternFill patternType="solid">
          <fgColor indexed="64"/>
          <bgColor rgb="FFD8F6F8"/>
        </patternFill>
      </fill>
      <alignment horizontal="center" vertical="center" textRotation="0" wrapText="0" indent="0" justifyLastLine="0" shrinkToFit="0" readingOrder="0"/>
      <border diagonalUp="0" diagonalDown="0" outline="0">
        <left style="thin">
          <color rgb="FF19838B"/>
        </left>
        <right/>
        <top style="thin">
          <color rgb="FF19838B"/>
        </top>
        <bottom style="thin">
          <color rgb="FF19838B"/>
        </bottom>
      </border>
    </dxf>
    <dxf>
      <font>
        <b/>
        <i val="0"/>
        <strike val="0"/>
        <condense val="0"/>
        <extend val="0"/>
        <outline val="0"/>
        <shadow val="0"/>
        <u val="none"/>
        <vertAlign val="baseline"/>
        <sz val="11"/>
        <color theme="1"/>
        <name val="Calibri"/>
        <family val="2"/>
        <charset val="162"/>
        <scheme val="minor"/>
      </font>
      <numFmt numFmtId="30" formatCode="@"/>
      <fill>
        <patternFill patternType="solid">
          <fgColor indexed="64"/>
          <bgColor rgb="FFD8F6F8"/>
        </patternFill>
      </fill>
      <alignment horizontal="center" vertical="center" textRotation="0" wrapText="0" indent="0" justifyLastLine="0" shrinkToFit="0" readingOrder="0"/>
      <border diagonalUp="0" diagonalDown="0" outline="0">
        <left style="thin">
          <color rgb="FF19838B"/>
        </left>
        <right style="thin">
          <color rgb="FF19838B"/>
        </right>
        <top style="thin">
          <color rgb="FF19838B"/>
        </top>
        <bottom style="thin">
          <color rgb="FF19838B"/>
        </bottom>
      </border>
    </dxf>
    <dxf>
      <font>
        <b/>
        <i val="0"/>
        <strike val="0"/>
        <condense val="0"/>
        <extend val="0"/>
        <outline val="0"/>
        <shadow val="0"/>
        <u val="none"/>
        <vertAlign val="baseline"/>
        <sz val="11"/>
        <color theme="1"/>
        <name val="Calibri"/>
        <family val="2"/>
        <charset val="162"/>
        <scheme val="minor"/>
      </font>
      <fill>
        <patternFill patternType="solid">
          <fgColor indexed="64"/>
          <bgColor rgb="FFD8F6F8"/>
        </patternFill>
      </fill>
      <alignment horizontal="center" vertical="center" textRotation="0" wrapText="0" indent="0" justifyLastLine="0" shrinkToFit="0" readingOrder="0"/>
      <border diagonalUp="0" diagonalDown="0" outline="0">
        <left/>
        <right style="thin">
          <color rgb="FF19838B"/>
        </right>
        <top style="thin">
          <color rgb="FF19838B"/>
        </top>
        <bottom style="thin">
          <color rgb="FF19838B"/>
        </bottom>
      </border>
    </dxf>
    <dxf>
      <border>
        <top style="thin">
          <color rgb="FF19838B"/>
        </top>
      </border>
    </dxf>
    <dxf>
      <border diagonalUp="0" diagonalDown="0">
        <left style="thin">
          <color rgb="FF19838B"/>
        </left>
        <right style="thin">
          <color rgb="FF19838B"/>
        </right>
        <top style="thin">
          <color rgb="FF19838B"/>
        </top>
        <bottom style="thin">
          <color rgb="FF19838B"/>
        </bottom>
      </border>
    </dxf>
    <dxf>
      <font>
        <strike val="0"/>
        <outline val="0"/>
        <shadow val="0"/>
        <u val="none"/>
        <vertAlign val="baseline"/>
        <sz val="11"/>
        <name val="Calibri"/>
        <family val="2"/>
        <charset val="162"/>
        <scheme val="minor"/>
      </font>
    </dxf>
    <dxf>
      <border outline="0">
        <bottom style="thin">
          <color rgb="FF19838B"/>
        </bottom>
      </border>
    </dxf>
    <dxf>
      <font>
        <b/>
        <i val="0"/>
        <strike val="0"/>
        <condense val="0"/>
        <extend val="0"/>
        <outline val="0"/>
        <shadow val="0"/>
        <u val="none"/>
        <vertAlign val="baseline"/>
        <sz val="11"/>
        <color theme="0"/>
        <name val="Calibri"/>
        <family val="2"/>
        <charset val="162"/>
        <scheme val="minor"/>
      </font>
      <fill>
        <patternFill patternType="solid">
          <fgColor indexed="64"/>
          <bgColor rgb="FF11595F"/>
        </patternFill>
      </fill>
      <alignment horizontal="center" vertical="center" textRotation="0" wrapText="0" indent="0" justifyLastLine="0" shrinkToFit="0" readingOrder="0"/>
      <border diagonalUp="0" diagonalDown="0" outline="0">
        <left style="thin">
          <color rgb="FF19838B"/>
        </left>
        <right style="thin">
          <color rgb="FF19838B"/>
        </right>
        <top/>
        <bottom/>
      </border>
    </dxf>
    <dxf>
      <font>
        <i/>
        <strike val="0"/>
        <outline val="0"/>
        <shadow val="0"/>
        <u val="none"/>
        <vertAlign val="baseline"/>
        <sz val="11"/>
        <name val="Calibri"/>
        <family val="2"/>
        <charset val="162"/>
        <scheme val="minor"/>
      </font>
      <numFmt numFmtId="2" formatCode="0.00"/>
    </dxf>
    <dxf>
      <font>
        <i/>
        <strike val="0"/>
        <outline val="0"/>
        <shadow val="0"/>
        <u val="none"/>
        <vertAlign val="baseline"/>
        <sz val="11"/>
        <name val="Calibri"/>
        <family val="2"/>
        <charset val="162"/>
        <scheme val="minor"/>
      </font>
      <alignment horizontal="left" vertical="bottom" textRotation="0" wrapText="0" relativeIndent="1" justifyLastLine="0" shrinkToFit="0" readingOrder="0"/>
      <border diagonalUp="0" diagonalDown="0" outline="0">
        <left style="thin">
          <color rgb="FF000000"/>
        </left>
        <right/>
        <top style="thin">
          <color rgb="FF19838B"/>
        </top>
        <bottom style="thin">
          <color rgb="FF19838B"/>
        </bottom>
      </border>
    </dxf>
    <dxf>
      <font>
        <i/>
        <strike val="0"/>
        <outline val="0"/>
        <shadow val="0"/>
        <u val="none"/>
        <vertAlign val="baseline"/>
        <sz val="11"/>
        <name val="Calibri"/>
        <family val="2"/>
        <charset val="162"/>
        <scheme val="minor"/>
      </font>
      <numFmt numFmtId="167" formatCode="m/d/yyyy"/>
      <alignment horizontal="left" vertical="bottom" textRotation="0" wrapText="0" indent="0" justifyLastLine="0" shrinkToFit="0" readingOrder="0"/>
      <border diagonalUp="0" diagonalDown="0" outline="0">
        <left/>
        <right style="thin">
          <color rgb="FF19838B"/>
        </right>
        <top style="thin">
          <color rgb="FF19838B"/>
        </top>
        <bottom style="thin">
          <color rgb="FF19838B"/>
        </bottom>
      </border>
    </dxf>
    <dxf>
      <border>
        <top style="thin">
          <color rgb="FF19838B"/>
        </top>
      </border>
    </dxf>
    <dxf>
      <border diagonalUp="0" diagonalDown="0">
        <left style="thin">
          <color rgb="FF19838B"/>
        </left>
        <right style="thin">
          <color rgb="FF19838B"/>
        </right>
        <top style="thin">
          <color rgb="FF19838B"/>
        </top>
        <bottom style="thin">
          <color rgb="FF19838B"/>
        </bottom>
      </border>
    </dxf>
    <dxf>
      <font>
        <i/>
        <strike val="0"/>
        <outline val="0"/>
        <shadow val="0"/>
        <u val="none"/>
        <vertAlign val="baseline"/>
        <sz val="11"/>
        <name val="Calibri"/>
        <family val="2"/>
        <charset val="162"/>
        <scheme val="minor"/>
      </font>
    </dxf>
    <dxf>
      <border outline="0">
        <bottom style="thin">
          <color rgb="FF19838B"/>
        </bottom>
      </border>
    </dxf>
    <dxf>
      <font>
        <b/>
        <i/>
        <strike val="0"/>
        <condense val="0"/>
        <extend val="0"/>
        <outline val="0"/>
        <shadow val="0"/>
        <u val="none"/>
        <vertAlign val="baseline"/>
        <sz val="11"/>
        <color theme="0"/>
        <name val="Calibri"/>
        <family val="2"/>
        <charset val="162"/>
        <scheme val="minor"/>
      </font>
      <fill>
        <patternFill patternType="solid">
          <fgColor indexed="64"/>
          <bgColor rgb="FF11595F"/>
        </patternFill>
      </fill>
      <alignment horizontal="center" vertical="center" textRotation="0" wrapText="0" indent="0" justifyLastLine="0" shrinkToFit="0" readingOrder="0"/>
      <border diagonalUp="0" diagonalDown="0" outline="0">
        <left style="thin">
          <color rgb="FF19838B"/>
        </left>
        <right style="thin">
          <color rgb="FF19838B"/>
        </right>
        <top/>
        <bottom/>
      </border>
    </dxf>
    <dxf>
      <numFmt numFmtId="30" formatCode="@"/>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numFmt numFmtId="165" formatCode="dd\.mm\.yyyy"/>
      <alignment horizontal="center" vertical="center" textRotation="0" wrapText="0" indent="0" justifyLastLine="0" shrinkToFit="0" readingOrder="0"/>
      <border diagonalUp="0" diagonalDown="0" outline="0">
        <left style="thin">
          <color indexed="64"/>
        </left>
        <right style="thin">
          <color auto="1"/>
        </right>
        <top style="thin">
          <color indexed="64"/>
        </top>
        <bottom style="thin">
          <color indexed="64"/>
        </bottom>
      </border>
    </dxf>
    <dxf>
      <numFmt numFmtId="165" formatCode="dd\.mm\.yyyy"/>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diagonalUp="0" diagonalDown="0" outline="0">
        <left style="thin">
          <color indexed="64"/>
        </left>
        <right style="thin">
          <color indexed="64"/>
        </right>
        <top style="thin">
          <color indexed="64"/>
        </top>
        <bottom style="thin">
          <color indexed="64"/>
        </bottom>
      </border>
    </dxf>
    <dxf>
      <alignment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charset val="16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name val="Calibri"/>
        <family val="2"/>
        <charset val="16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numFmt numFmtId="0" formatCode="General"/>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numFmt numFmtId="0" formatCode="General"/>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border diagonalUp="0" diagonalDown="0">
        <left style="thin">
          <color rgb="FF19838B"/>
        </left>
        <right style="thin">
          <color rgb="FF19838B"/>
        </right>
        <top style="thin">
          <color rgb="FF19838B"/>
        </top>
        <bottom style="thin">
          <color rgb="FF19838B"/>
        </bottom>
        <vertical style="thin">
          <color rgb="FF19838B"/>
        </vertical>
        <horizontal style="thin">
          <color rgb="FF19838B"/>
        </horizontal>
      </border>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numFmt numFmtId="0" formatCode="General"/>
      <fill>
        <patternFill patternType="solid">
          <fgColor indexed="64"/>
          <bgColor theme="0" tint="-4.9989318521683403E-2"/>
        </patternFill>
      </fill>
      <border outline="0">
        <left style="thin">
          <color rgb="FF19838B"/>
        </left>
      </border>
    </dxf>
    <dxf>
      <font>
        <b/>
        <i val="0"/>
        <strike val="0"/>
        <condense val="0"/>
        <extend val="0"/>
        <outline val="0"/>
        <shadow val="0"/>
        <u val="none"/>
        <vertAlign val="baseline"/>
        <sz val="11"/>
        <color theme="1"/>
        <name val="Calibri"/>
        <family val="2"/>
        <charset val="162"/>
        <scheme val="minor"/>
      </font>
      <numFmt numFmtId="0" formatCode="General"/>
      <fill>
        <patternFill patternType="solid">
          <fgColor indexed="64"/>
          <bgColor rgb="FFF2F2F2"/>
        </patternFill>
      </fill>
      <alignment horizontal="center" vertical="center" textRotation="0" wrapText="0" indent="0" justifyLastLine="0" shrinkToFit="0" readingOrder="0"/>
      <border diagonalUp="0" diagonalDown="0" outline="0">
        <left style="thin">
          <color rgb="FF19838B"/>
        </left>
        <right style="thin">
          <color rgb="FF19838B"/>
        </right>
        <top style="thin">
          <color rgb="FF19838B"/>
        </top>
        <bottom style="thin">
          <color rgb="FF19838B"/>
        </bottom>
      </border>
    </dxf>
    <dxf>
      <font>
        <strike val="0"/>
        <outline val="0"/>
        <shadow val="0"/>
        <u val="none"/>
        <vertAlign val="baseline"/>
        <sz val="11"/>
        <color theme="1"/>
        <name val="Calibri"/>
        <family val="2"/>
        <charset val="162"/>
        <scheme val="minor"/>
      </font>
      <numFmt numFmtId="0" formatCode="General"/>
      <fill>
        <patternFill patternType="solid">
          <fgColor indexed="64"/>
          <bgColor rgb="FFF2F2F2"/>
        </patternFill>
      </fill>
      <alignment horizontal="center" vertical="bottom" textRotation="0" wrapText="0" indent="0" justifyLastLine="0" shrinkToFit="0" readingOrder="0"/>
      <border diagonalUp="0" diagonalDown="0" outline="0">
        <left style="thin">
          <color rgb="FF19838B"/>
        </left>
        <right style="thin">
          <color rgb="FF19838B"/>
        </right>
        <top style="thin">
          <color rgb="FF19838B"/>
        </top>
        <bottom style="thin">
          <color rgb="FF19838B"/>
        </bottom>
      </border>
    </dxf>
    <dxf>
      <font>
        <strike val="0"/>
        <outline val="0"/>
        <shadow val="0"/>
        <u val="none"/>
        <vertAlign val="baseline"/>
        <sz val="11"/>
        <color theme="1"/>
        <name val="Calibri"/>
        <family val="2"/>
        <charset val="162"/>
        <scheme val="minor"/>
      </font>
      <numFmt numFmtId="0" formatCode="General"/>
      <fill>
        <patternFill patternType="solid">
          <fgColor indexed="64"/>
          <bgColor rgb="FFF2F2F2"/>
        </patternFill>
      </fill>
      <alignment horizontal="center" vertical="bottom" textRotation="0" wrapText="0" indent="0" justifyLastLine="0" shrinkToFit="0" readingOrder="0"/>
      <border diagonalUp="0" diagonalDown="0" outline="0">
        <left style="thin">
          <color rgb="FF19838B"/>
        </left>
        <right style="thin">
          <color rgb="FF19838B"/>
        </right>
        <top style="thin">
          <color rgb="FF19838B"/>
        </top>
        <bottom style="thin">
          <color rgb="FF19838B"/>
        </bottom>
      </border>
    </dxf>
    <dxf>
      <font>
        <strike val="0"/>
        <outline val="0"/>
        <shadow val="0"/>
        <u val="none"/>
        <vertAlign val="baseline"/>
        <sz val="11"/>
        <color theme="1"/>
        <name val="Calibri"/>
        <family val="2"/>
        <charset val="162"/>
        <scheme val="minor"/>
      </font>
      <numFmt numFmtId="1" formatCode="0"/>
      <fill>
        <patternFill patternType="solid">
          <fgColor indexed="64"/>
          <bgColor rgb="FFF2F2F2"/>
        </patternFill>
      </fill>
      <alignment horizontal="center" vertical="bottom" textRotation="0" wrapText="0" indent="0" justifyLastLine="0" shrinkToFit="0" readingOrder="0"/>
      <border diagonalUp="0" diagonalDown="0" outline="0">
        <left style="thin">
          <color rgb="FF19838B"/>
        </left>
        <right style="thin">
          <color rgb="FF19838B"/>
        </right>
        <top style="thin">
          <color rgb="FF19838B"/>
        </top>
        <bottom style="thin">
          <color rgb="FF19838B"/>
        </bottom>
      </border>
    </dxf>
    <dxf>
      <font>
        <strike val="0"/>
        <outline val="0"/>
        <shadow val="0"/>
        <u val="none"/>
        <vertAlign val="baseline"/>
        <sz val="11"/>
        <color theme="1"/>
        <name val="Calibri"/>
        <family val="2"/>
        <charset val="162"/>
        <scheme val="minor"/>
      </font>
      <numFmt numFmtId="1" formatCode="0"/>
      <fill>
        <patternFill patternType="solid">
          <fgColor indexed="64"/>
          <bgColor rgb="FFF2F2F2"/>
        </patternFill>
      </fill>
      <alignment horizontal="center" vertical="bottom" textRotation="0" wrapText="0" indent="0" justifyLastLine="0" shrinkToFit="0" readingOrder="0"/>
      <border diagonalUp="0" diagonalDown="0" outline="0">
        <left style="thin">
          <color rgb="FF19838B"/>
        </left>
        <right style="thin">
          <color rgb="FF19838B"/>
        </right>
        <top style="thin">
          <color rgb="FF19838B"/>
        </top>
        <bottom style="thin">
          <color rgb="FF19838B"/>
        </bottom>
      </border>
    </dxf>
    <dxf>
      <numFmt numFmtId="167" formatCode="m/d/yyyy"/>
      <fill>
        <patternFill>
          <fgColor indexed="64"/>
          <bgColor theme="0"/>
        </patternFill>
      </fill>
      <alignment horizontal="center" textRotation="0" indent="0" justifyLastLine="0" shrinkToFit="0" readingOrder="0"/>
      <border diagonalUp="0" diagonalDown="0">
        <left style="thin">
          <color rgb="FF19838B"/>
        </left>
        <right style="thin">
          <color rgb="FF19838B"/>
        </right>
        <top style="thin">
          <color rgb="FF19838B"/>
        </top>
        <bottom style="thin">
          <color rgb="FF19838B"/>
        </bottom>
      </border>
    </dxf>
    <dxf>
      <numFmt numFmtId="167" formatCode="m/d/yyyy"/>
      <fill>
        <patternFill>
          <fgColor indexed="64"/>
          <bgColor theme="0"/>
        </patternFill>
      </fill>
      <alignment horizontal="center" textRotation="0" indent="0" justifyLastLine="0" shrinkToFit="0" readingOrder="0"/>
      <border diagonalUp="0" diagonalDown="0">
        <left style="thin">
          <color rgb="FF19838B"/>
        </left>
        <right style="thin">
          <color rgb="FF19838B"/>
        </right>
        <top style="thin">
          <color rgb="FF19838B"/>
        </top>
        <bottom style="thin">
          <color rgb="FF19838B"/>
        </bottom>
      </border>
    </dxf>
    <dxf>
      <fill>
        <patternFill>
          <fgColor indexed="64"/>
          <bgColor theme="0"/>
        </patternFill>
      </fill>
      <border diagonalUp="0" diagonalDown="0" outline="0">
        <left style="thin">
          <color rgb="FF19838B"/>
        </left>
        <right style="thin">
          <color rgb="FF19838B"/>
        </right>
        <top style="thin">
          <color rgb="FF19838B"/>
        </top>
        <bottom style="thin">
          <color rgb="FF19838B"/>
        </bottom>
      </border>
    </dxf>
    <dxf>
      <numFmt numFmtId="0" formatCode="General"/>
      <fill>
        <patternFill patternType="solid">
          <fgColor indexed="64"/>
          <bgColor theme="0"/>
        </patternFill>
      </fill>
      <border diagonalUp="0" diagonalDown="0">
        <left style="thin">
          <color rgb="FF19838B"/>
        </left>
        <right style="thin">
          <color rgb="FF19838B"/>
        </right>
        <top style="thin">
          <color rgb="FF19838B"/>
        </top>
        <bottom style="thin">
          <color rgb="FF19838B"/>
        </bottom>
        <vertical/>
        <horizontal/>
      </border>
    </dxf>
    <dxf>
      <fill>
        <patternFill>
          <fgColor indexed="64"/>
          <bgColor theme="0"/>
        </patternFill>
      </fill>
      <border diagonalUp="0" diagonalDown="0" outline="0">
        <left style="thin">
          <color rgb="FF19838B"/>
        </left>
        <right style="thin">
          <color rgb="FF19838B"/>
        </right>
        <top style="thin">
          <color rgb="FF19838B"/>
        </top>
        <bottom style="thin">
          <color rgb="FF19838B"/>
        </bottom>
      </border>
    </dxf>
    <dxf>
      <fill>
        <patternFill>
          <fgColor indexed="64"/>
          <bgColor theme="0"/>
        </patternFill>
      </fill>
      <alignment horizontal="center" textRotation="0" indent="0" justifyLastLine="0" shrinkToFit="0" readingOrder="0"/>
      <border diagonalUp="0" diagonalDown="0" outline="0">
        <left style="thin">
          <color rgb="FF19838B"/>
        </left>
        <right style="thin">
          <color rgb="FF19838B"/>
        </right>
        <top style="thin">
          <color rgb="FF19838B"/>
        </top>
        <bottom style="thin">
          <color rgb="FF19838B"/>
        </bottom>
      </border>
    </dxf>
    <dxf>
      <border>
        <top style="thin">
          <color rgb="FF19838B"/>
        </top>
      </border>
    </dxf>
    <dxf>
      <border diagonalUp="0" diagonalDown="0">
        <left style="thin">
          <color rgb="FF19838B"/>
        </left>
        <right style="thin">
          <color rgb="FF19838B"/>
        </right>
        <top style="thin">
          <color rgb="FF19838B"/>
        </top>
        <bottom style="thin">
          <color rgb="FF19838B"/>
        </bottom>
      </border>
    </dxf>
    <dxf>
      <font>
        <strike val="0"/>
        <outline val="0"/>
        <shadow val="0"/>
        <u val="none"/>
        <vertAlign val="baseline"/>
        <sz val="11"/>
        <name val="Calibri"/>
        <family val="2"/>
        <charset val="162"/>
        <scheme val="minor"/>
      </font>
    </dxf>
    <dxf>
      <border>
        <bottom style="thin">
          <color rgb="FF19838B"/>
        </bottom>
      </border>
    </dxf>
    <dxf>
      <font>
        <b/>
        <i val="0"/>
        <strike val="0"/>
        <condense val="0"/>
        <extend val="0"/>
        <outline val="0"/>
        <shadow val="0"/>
        <u val="none"/>
        <vertAlign val="baseline"/>
        <sz val="11"/>
        <color theme="0"/>
        <name val="Calibri"/>
        <family val="2"/>
        <charset val="162"/>
        <scheme val="minor"/>
      </font>
      <fill>
        <patternFill patternType="solid">
          <fgColor indexed="64"/>
          <bgColor rgb="FF11595F"/>
        </patternFill>
      </fill>
      <alignment horizontal="center" vertical="center" textRotation="0" wrapText="0" indent="0" justifyLastLine="0" shrinkToFit="0" readingOrder="0"/>
      <border diagonalUp="0" diagonalDown="0" outline="0">
        <left style="thin">
          <color rgb="FF19838B"/>
        </left>
        <right style="thin">
          <color rgb="FF19838B"/>
        </right>
        <top/>
        <bottom/>
      </border>
    </dxf>
    <dxf>
      <font>
        <strike val="0"/>
        <outline val="0"/>
        <shadow val="0"/>
        <u val="none"/>
        <vertAlign val="baseline"/>
        <sz val="11"/>
        <name val="Calibri"/>
        <family val="2"/>
        <charset val="162"/>
        <scheme val="minor"/>
      </font>
      <numFmt numFmtId="0" formatCode="General"/>
      <border diagonalUp="0" diagonalDown="0">
        <left style="thin">
          <color rgb="FF19838B"/>
        </left>
        <right style="thin">
          <color rgb="FF19838B"/>
        </right>
        <top style="thin">
          <color rgb="FF19838B"/>
        </top>
        <bottom style="thin">
          <color rgb="FF19838B"/>
        </bottom>
        <vertical/>
        <horizontal style="thin">
          <color rgb="FF19838B"/>
        </horizontal>
      </border>
    </dxf>
    <dxf>
      <font>
        <b/>
        <strike val="0"/>
        <outline val="0"/>
        <shadow val="0"/>
        <u val="none"/>
        <vertAlign val="baseline"/>
        <sz val="11"/>
        <name val="Calibri"/>
        <family val="2"/>
        <charset val="16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thin">
          <color rgb="FF19838B"/>
        </left>
        <right/>
        <top style="thin">
          <color rgb="FF19838B"/>
        </top>
        <bottom style="thin">
          <color rgb="FF19838B"/>
        </bottom>
      </border>
    </dxf>
    <dxf>
      <font>
        <strike val="0"/>
        <outline val="0"/>
        <shadow val="0"/>
        <u val="none"/>
        <vertAlign val="baseline"/>
        <sz val="11"/>
        <name val="Calibri"/>
        <family val="2"/>
        <charset val="162"/>
        <scheme val="minor"/>
      </font>
      <numFmt numFmtId="167" formatCode="m/d/yyyy"/>
      <fill>
        <patternFill>
          <fgColor indexed="64"/>
          <bgColor theme="0"/>
        </patternFill>
      </fill>
      <alignment horizontal="center" vertical="center" textRotation="0" wrapText="0" indent="0" justifyLastLine="0" shrinkToFit="0" readingOrder="0"/>
      <border diagonalUp="0" diagonalDown="0" outline="0">
        <left style="thin">
          <color rgb="FF19838B"/>
        </left>
        <right style="thin">
          <color rgb="FF19838B"/>
        </right>
        <top style="thin">
          <color rgb="FF19838B"/>
        </top>
        <bottom style="thin">
          <color rgb="FF19838B"/>
        </bottom>
      </border>
    </dxf>
    <dxf>
      <font>
        <strike val="0"/>
        <outline val="0"/>
        <shadow val="0"/>
        <u val="none"/>
        <vertAlign val="baseline"/>
        <sz val="11"/>
        <name val="Calibri"/>
        <family val="2"/>
        <charset val="162"/>
        <scheme val="minor"/>
      </font>
      <numFmt numFmtId="167" formatCode="m/d/yyyy"/>
      <fill>
        <patternFill>
          <fgColor indexed="64"/>
          <bgColor theme="0"/>
        </patternFill>
      </fill>
      <alignment horizontal="center" vertical="center" textRotation="0" wrapText="0" indent="0" justifyLastLine="0" shrinkToFit="0" readingOrder="0"/>
      <border diagonalUp="0" diagonalDown="0" outline="0">
        <left style="thin">
          <color rgb="FF19838B"/>
        </left>
        <right style="thin">
          <color rgb="FF19838B"/>
        </right>
        <top style="thin">
          <color rgb="FF19838B"/>
        </top>
        <bottom style="thin">
          <color rgb="FF19838B"/>
        </bottom>
      </border>
    </dxf>
    <dxf>
      <font>
        <strike val="0"/>
        <outline val="0"/>
        <shadow val="0"/>
        <u val="none"/>
        <vertAlign val="baseline"/>
        <sz val="11"/>
        <name val="Calibri"/>
        <family val="2"/>
        <charset val="162"/>
        <scheme val="minor"/>
      </font>
      <numFmt numFmtId="0" formatCode="General"/>
      <fill>
        <patternFill>
          <fgColor indexed="64"/>
          <bgColor theme="0"/>
        </patternFill>
      </fill>
      <alignment horizontal="general" vertical="bottom" textRotation="0" wrapText="0" indent="0" justifyLastLine="0" shrinkToFit="0" readingOrder="0"/>
      <border diagonalUp="0" diagonalDown="0" outline="0">
        <left style="thin">
          <color rgb="FF19838B"/>
        </left>
        <right style="thin">
          <color rgb="FF19838B"/>
        </right>
        <top style="thin">
          <color rgb="FF19838B"/>
        </top>
        <bottom style="thin">
          <color rgb="FF19838B"/>
        </bottom>
      </border>
    </dxf>
    <dxf>
      <font>
        <strike val="0"/>
        <outline val="0"/>
        <shadow val="0"/>
        <u val="none"/>
        <vertAlign val="baseline"/>
        <sz val="11"/>
        <name val="Calibri"/>
        <family val="2"/>
        <charset val="162"/>
        <scheme val="minor"/>
      </font>
      <fill>
        <patternFill>
          <fgColor indexed="64"/>
          <bgColor theme="0"/>
        </patternFill>
      </fill>
      <alignment horizontal="center" vertical="bottom" textRotation="0" wrapText="0" indent="0" justifyLastLine="0" shrinkToFit="0" readingOrder="0"/>
      <border diagonalUp="0" diagonalDown="0" outline="0">
        <left/>
        <right style="thin">
          <color rgb="FF19838B"/>
        </right>
        <top style="thin">
          <color rgb="FF19838B"/>
        </top>
        <bottom style="thin">
          <color rgb="FF19838B"/>
        </bottom>
      </border>
    </dxf>
    <dxf>
      <border>
        <top style="thin">
          <color rgb="FF19838B"/>
        </top>
      </border>
    </dxf>
    <dxf>
      <border diagonalUp="0" diagonalDown="0">
        <left style="thin">
          <color rgb="FF19838B"/>
        </left>
        <right style="thin">
          <color rgb="FF19838B"/>
        </right>
        <top style="thin">
          <color rgb="FF19838B"/>
        </top>
        <bottom style="thin">
          <color rgb="FF19838B"/>
        </bottom>
      </border>
    </dxf>
    <dxf>
      <font>
        <strike val="0"/>
        <outline val="0"/>
        <shadow val="0"/>
        <u val="none"/>
        <vertAlign val="baseline"/>
        <sz val="11"/>
        <name val="Calibri"/>
        <family val="2"/>
        <charset val="162"/>
        <scheme val="minor"/>
      </font>
    </dxf>
    <dxf>
      <border>
        <bottom style="thin">
          <color rgb="FF19838B"/>
        </bottom>
      </border>
    </dxf>
    <dxf>
      <font>
        <b/>
        <i val="0"/>
        <strike val="0"/>
        <condense val="0"/>
        <extend val="0"/>
        <outline val="0"/>
        <shadow val="0"/>
        <u val="none"/>
        <vertAlign val="baseline"/>
        <sz val="11"/>
        <color theme="0"/>
        <name val="Calibri"/>
        <family val="2"/>
        <charset val="162"/>
        <scheme val="minor"/>
      </font>
      <fill>
        <patternFill patternType="solid">
          <fgColor indexed="64"/>
          <bgColor rgb="FF11595F"/>
        </patternFill>
      </fill>
      <alignment horizontal="center" vertical="center" textRotation="0" wrapText="0" indent="0" justifyLastLine="0" shrinkToFit="0" readingOrder="0"/>
      <border diagonalUp="0" diagonalDown="0">
        <left style="thin">
          <color rgb="FF19838B"/>
        </left>
        <right style="thin">
          <color rgb="FF19838B"/>
        </right>
        <top/>
        <bottom/>
        <vertical style="thin">
          <color rgb="FF19838B"/>
        </vertical>
        <horizontal style="thin">
          <color rgb="FF19838B"/>
        </horizontal>
      </border>
    </dxf>
  </dxfs>
  <tableStyles count="0" defaultTableStyle="TableStyleMedium2" defaultPivotStyle="PivotStyleLight16"/>
  <colors>
    <mruColors>
      <color rgb="FF4FD5DF"/>
      <color rgb="FF16757C"/>
      <color rgb="FF19838B"/>
      <color rgb="FF87E2E9"/>
      <color rgb="FFF2F2F2"/>
      <color rgb="FF0D474B"/>
      <color rgb="FF125E64"/>
      <color rgb="FF1159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s>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2.png"/><Relationship Id="rId7" Type="http://schemas.openxmlformats.org/officeDocument/2006/relationships/image" Target="../media/image5.png"/><Relationship Id="rId12" Type="http://schemas.openxmlformats.org/officeDocument/2006/relationships/image" Target="../media/image10.png"/><Relationship Id="rId2" Type="http://schemas.openxmlformats.org/officeDocument/2006/relationships/hyperlink" Target="#Personel!A1"/><Relationship Id="rId1" Type="http://schemas.openxmlformats.org/officeDocument/2006/relationships/hyperlink" Target="#'&#304;zin Giri&#351;'!A1"/><Relationship Id="rId6" Type="http://schemas.openxmlformats.org/officeDocument/2006/relationships/hyperlink" Target="#'Ana Sayfa'!A1"/><Relationship Id="rId11" Type="http://schemas.openxmlformats.org/officeDocument/2006/relationships/image" Target="../media/image9.svg"/><Relationship Id="rId5" Type="http://schemas.openxmlformats.org/officeDocument/2006/relationships/image" Target="../media/image4.png"/><Relationship Id="rId10" Type="http://schemas.openxmlformats.org/officeDocument/2006/relationships/image" Target="../media/image8.png"/><Relationship Id="rId4" Type="http://schemas.openxmlformats.org/officeDocument/2006/relationships/image" Target="../media/image3.png"/><Relationship Id="rId9" Type="http://schemas.openxmlformats.org/officeDocument/2006/relationships/image" Target="../media/image7.sv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Ana Sayfa'!A1"/><Relationship Id="rId1"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Ana Sayfa'!A1"/><Relationship Id="rId1" Type="http://schemas.openxmlformats.org/officeDocument/2006/relationships/image" Target="../media/image13.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4.png"/><Relationship Id="rId1" Type="http://schemas.openxmlformats.org/officeDocument/2006/relationships/hyperlink" Target="#'Ana Sayfa'!A1"/></Relationships>
</file>

<file path=xl/drawings/_rels/drawing6.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hyperlink" Target="#'Tatil G&#252;nler'!A1"/><Relationship Id="rId7" Type="http://schemas.openxmlformats.org/officeDocument/2006/relationships/image" Target="../media/image17.png"/><Relationship Id="rId2" Type="http://schemas.openxmlformats.org/officeDocument/2006/relationships/hyperlink" Target="#Personel!A1"/><Relationship Id="rId1" Type="http://schemas.openxmlformats.org/officeDocument/2006/relationships/hyperlink" Target="#'&#304;zin Giri&#351;'!A1"/><Relationship Id="rId6" Type="http://schemas.openxmlformats.org/officeDocument/2006/relationships/image" Target="../media/image16.png"/><Relationship Id="rId11" Type="http://schemas.openxmlformats.org/officeDocument/2006/relationships/image" Target="../media/image20.png"/><Relationship Id="rId5" Type="http://schemas.openxmlformats.org/officeDocument/2006/relationships/image" Target="../media/image15.png"/><Relationship Id="rId10" Type="http://schemas.openxmlformats.org/officeDocument/2006/relationships/hyperlink" Target="#'Ana Sayfa'!A1"/><Relationship Id="rId4" Type="http://schemas.openxmlformats.org/officeDocument/2006/relationships/hyperlink" Target="#Ayarlar!A1"/><Relationship Id="rId9"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absolute">
    <xdr:from>
      <xdr:col>7</xdr:col>
      <xdr:colOff>110836</xdr:colOff>
      <xdr:row>1</xdr:row>
      <xdr:rowOff>62346</xdr:rowOff>
    </xdr:from>
    <xdr:to>
      <xdr:col>14</xdr:col>
      <xdr:colOff>238854</xdr:colOff>
      <xdr:row>2</xdr:row>
      <xdr:rowOff>176993</xdr:rowOff>
    </xdr:to>
    <xdr:sp macro="" textlink="Personel!H2">
      <xdr:nvSpPr>
        <xdr:cNvPr id="28" name="Dikdörtgen 27">
          <a:extLst>
            <a:ext uri="{FF2B5EF4-FFF2-40B4-BE49-F238E27FC236}">
              <a16:creationId xmlns:a16="http://schemas.microsoft.com/office/drawing/2014/main" id="{C9523CB8-4719-48D3-9757-4D1141AA9176}"/>
            </a:ext>
          </a:extLst>
        </xdr:cNvPr>
        <xdr:cNvSpPr>
          <a:spLocks noChangeAspect="1"/>
        </xdr:cNvSpPr>
      </xdr:nvSpPr>
      <xdr:spPr>
        <a:xfrm>
          <a:off x="2098963" y="242455"/>
          <a:ext cx="1825200" cy="294756"/>
        </a:xfrm>
        <a:prstGeom prst="rect">
          <a:avLst/>
        </a:prstGeom>
        <a:solidFill>
          <a:srgbClr val="125E64"/>
        </a:solidFill>
        <a:ln>
          <a:solidFill>
            <a:srgbClr val="1983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0A00834-932B-4033-B65D-2FA8724F31CD}" type="TxLink">
            <a:rPr lang="en-US" sz="1100" b="1" i="0" u="none" strike="noStrike">
              <a:solidFill>
                <a:schemeClr val="bg1"/>
              </a:solidFill>
              <a:latin typeface="Calibri"/>
              <a:ea typeface="Calibri"/>
              <a:cs typeface="Calibri"/>
            </a:rPr>
            <a:pPr algn="ctr"/>
            <a:t>5 Ağustos 2026 Çarşamba</a:t>
          </a:fld>
          <a:endParaRPr lang="tr-TR" sz="1100" b="1">
            <a:solidFill>
              <a:schemeClr val="bg1"/>
            </a:solidFill>
          </a:endParaRPr>
        </a:p>
      </xdr:txBody>
    </xdr:sp>
    <xdr:clientData/>
  </xdr:twoCellAnchor>
  <xdr:twoCellAnchor>
    <xdr:from>
      <xdr:col>0</xdr:col>
      <xdr:colOff>19877</xdr:colOff>
      <xdr:row>0</xdr:row>
      <xdr:rowOff>19878</xdr:rowOff>
    </xdr:from>
    <xdr:to>
      <xdr:col>5</xdr:col>
      <xdr:colOff>284018</xdr:colOff>
      <xdr:row>5</xdr:row>
      <xdr:rowOff>6626</xdr:rowOff>
    </xdr:to>
    <xdr:sp macro="" textlink="">
      <xdr:nvSpPr>
        <xdr:cNvPr id="2" name="Dikdörtgen 1">
          <a:extLst>
            <a:ext uri="{FF2B5EF4-FFF2-40B4-BE49-F238E27FC236}">
              <a16:creationId xmlns:a16="http://schemas.microsoft.com/office/drawing/2014/main" id="{8BAB6D8A-77DD-4886-B9E9-70540DF6943E}"/>
            </a:ext>
          </a:extLst>
        </xdr:cNvPr>
        <xdr:cNvSpPr/>
      </xdr:nvSpPr>
      <xdr:spPr>
        <a:xfrm>
          <a:off x="19877" y="19878"/>
          <a:ext cx="1711941" cy="901148"/>
        </a:xfrm>
        <a:prstGeom prst="rect">
          <a:avLst/>
        </a:prstGeom>
        <a:no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800" b="1">
              <a:solidFill>
                <a:schemeClr val="bg1"/>
              </a:solidFill>
              <a:latin typeface="+mn-lt"/>
              <a:cs typeface="Poppins" panose="00000500000000000000" pitchFamily="2" charset="-94"/>
            </a:rPr>
            <a:t>ANA SAYFA</a:t>
          </a:r>
        </a:p>
      </xdr:txBody>
    </xdr:sp>
    <xdr:clientData/>
  </xdr:twoCellAnchor>
  <xdr:twoCellAnchor>
    <xdr:from>
      <xdr:col>0</xdr:col>
      <xdr:colOff>113247</xdr:colOff>
      <xdr:row>12</xdr:row>
      <xdr:rowOff>20449</xdr:rowOff>
    </xdr:from>
    <xdr:to>
      <xdr:col>5</xdr:col>
      <xdr:colOff>206011</xdr:colOff>
      <xdr:row>14</xdr:row>
      <xdr:rowOff>20450</xdr:rowOff>
    </xdr:to>
    <xdr:sp macro="" textlink="">
      <xdr:nvSpPr>
        <xdr:cNvPr id="3" name="Dikdörtgen: Çapraz Köşeleri Yuvarlatılmış 2">
          <a:hlinkClick xmlns:r="http://schemas.openxmlformats.org/officeDocument/2006/relationships" r:id="rId1"/>
          <a:extLst>
            <a:ext uri="{FF2B5EF4-FFF2-40B4-BE49-F238E27FC236}">
              <a16:creationId xmlns:a16="http://schemas.microsoft.com/office/drawing/2014/main" id="{AC29A3F5-C57A-4BE2-B19E-AFEA153AFC88}"/>
            </a:ext>
          </a:extLst>
        </xdr:cNvPr>
        <xdr:cNvSpPr/>
      </xdr:nvSpPr>
      <xdr:spPr>
        <a:xfrm>
          <a:off x="113247" y="2215009"/>
          <a:ext cx="1540564" cy="365761"/>
        </a:xfrm>
        <a:prstGeom prst="round2DiagRect">
          <a:avLst/>
        </a:prstGeom>
        <a:solidFill>
          <a:srgbClr val="19838B"/>
        </a:solidFill>
        <a:ln>
          <a:noFill/>
        </a:ln>
        <a:effectLst>
          <a:outerShdw blurRad="76200" dist="12700" dir="2700000" sy="-23000" kx="-8004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a:t>       İzin Giriş</a:t>
          </a:r>
        </a:p>
      </xdr:txBody>
    </xdr:sp>
    <xdr:clientData/>
  </xdr:twoCellAnchor>
  <xdr:twoCellAnchor>
    <xdr:from>
      <xdr:col>0</xdr:col>
      <xdr:colOff>113247</xdr:colOff>
      <xdr:row>8</xdr:row>
      <xdr:rowOff>178044</xdr:rowOff>
    </xdr:from>
    <xdr:to>
      <xdr:col>5</xdr:col>
      <xdr:colOff>206011</xdr:colOff>
      <xdr:row>10</xdr:row>
      <xdr:rowOff>178045</xdr:rowOff>
    </xdr:to>
    <xdr:sp macro="" textlink="">
      <xdr:nvSpPr>
        <xdr:cNvPr id="4" name="Dikdörtgen: Çapraz Köşeleri Yuvarlatılmış 3">
          <a:hlinkClick xmlns:r="http://schemas.openxmlformats.org/officeDocument/2006/relationships" r:id="rId2"/>
          <a:extLst>
            <a:ext uri="{FF2B5EF4-FFF2-40B4-BE49-F238E27FC236}">
              <a16:creationId xmlns:a16="http://schemas.microsoft.com/office/drawing/2014/main" id="{E8E27228-29DB-4A11-A1B0-99870CB17514}"/>
            </a:ext>
          </a:extLst>
        </xdr:cNvPr>
        <xdr:cNvSpPr/>
      </xdr:nvSpPr>
      <xdr:spPr>
        <a:xfrm>
          <a:off x="113247" y="1641084"/>
          <a:ext cx="1540564" cy="365761"/>
        </a:xfrm>
        <a:prstGeom prst="round2DiagRect">
          <a:avLst/>
        </a:prstGeom>
        <a:solidFill>
          <a:srgbClr val="19838B"/>
        </a:solidFill>
        <a:ln>
          <a:noFill/>
        </a:ln>
        <a:effectLst>
          <a:outerShdw blurRad="76200" dist="12700" dir="2700000" sy="-23000" kx="-8004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a:t>       Personel</a:t>
          </a:r>
        </a:p>
      </xdr:txBody>
    </xdr:sp>
    <xdr:clientData/>
  </xdr:twoCellAnchor>
  <xdr:twoCellAnchor editAs="oneCell">
    <xdr:from>
      <xdr:col>0</xdr:col>
      <xdr:colOff>123584</xdr:colOff>
      <xdr:row>9</xdr:row>
      <xdr:rowOff>45184</xdr:rowOff>
    </xdr:from>
    <xdr:to>
      <xdr:col>1</xdr:col>
      <xdr:colOff>173083</xdr:colOff>
      <xdr:row>10</xdr:row>
      <xdr:rowOff>153142</xdr:rowOff>
    </xdr:to>
    <xdr:pic>
      <xdr:nvPicPr>
        <xdr:cNvPr id="7" name="Resim 6">
          <a:hlinkClick xmlns:r="http://schemas.openxmlformats.org/officeDocument/2006/relationships" r:id="rId2"/>
          <a:extLst>
            <a:ext uri="{FF2B5EF4-FFF2-40B4-BE49-F238E27FC236}">
              <a16:creationId xmlns:a16="http://schemas.microsoft.com/office/drawing/2014/main" id="{CD5EBC15-5C5F-4F3E-BDFB-4C014D63B63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325" b="7496"/>
        <a:stretch/>
      </xdr:blipFill>
      <xdr:spPr>
        <a:xfrm>
          <a:off x="123584" y="1691104"/>
          <a:ext cx="339059" cy="290838"/>
        </a:xfrm>
        <a:prstGeom prst="rect">
          <a:avLst/>
        </a:prstGeom>
      </xdr:spPr>
    </xdr:pic>
    <xdr:clientData/>
  </xdr:twoCellAnchor>
  <xdr:twoCellAnchor editAs="oneCell">
    <xdr:from>
      <xdr:col>0</xdr:col>
      <xdr:colOff>87139</xdr:colOff>
      <xdr:row>11</xdr:row>
      <xdr:rowOff>178842</xdr:rowOff>
    </xdr:from>
    <xdr:to>
      <xdr:col>1</xdr:col>
      <xdr:colOff>209528</xdr:colOff>
      <xdr:row>14</xdr:row>
      <xdr:rowOff>19753</xdr:rowOff>
    </xdr:to>
    <xdr:pic>
      <xdr:nvPicPr>
        <xdr:cNvPr id="8" name="Resim 7">
          <a:hlinkClick xmlns:r="http://schemas.openxmlformats.org/officeDocument/2006/relationships" r:id="rId1"/>
          <a:extLst>
            <a:ext uri="{FF2B5EF4-FFF2-40B4-BE49-F238E27FC236}">
              <a16:creationId xmlns:a16="http://schemas.microsoft.com/office/drawing/2014/main" id="{DDE94B8A-9057-48C4-8374-EA55C563E2DC}"/>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5371"/>
        <a:stretch/>
      </xdr:blipFill>
      <xdr:spPr>
        <a:xfrm>
          <a:off x="87139" y="2190522"/>
          <a:ext cx="411949" cy="389551"/>
        </a:xfrm>
        <a:prstGeom prst="rect">
          <a:avLst/>
        </a:prstGeom>
      </xdr:spPr>
    </xdr:pic>
    <xdr:clientData/>
  </xdr:twoCellAnchor>
  <xdr:twoCellAnchor editAs="oneCell">
    <xdr:from>
      <xdr:col>0</xdr:col>
      <xdr:colOff>39376</xdr:colOff>
      <xdr:row>15</xdr:row>
      <xdr:rowOff>14831</xdr:rowOff>
    </xdr:from>
    <xdr:to>
      <xdr:col>5</xdr:col>
      <xdr:colOff>76334</xdr:colOff>
      <xdr:row>20</xdr:row>
      <xdr:rowOff>41660</xdr:rowOff>
    </xdr:to>
    <xdr:pic macro="[0]!Kalan_Izin_Sorgula">
      <xdr:nvPicPr>
        <xdr:cNvPr id="11" name="Resim 10">
          <a:extLst>
            <a:ext uri="{FF2B5EF4-FFF2-40B4-BE49-F238E27FC236}">
              <a16:creationId xmlns:a16="http://schemas.microsoft.com/office/drawing/2014/main" id="{765451D3-9279-4FD1-9B45-50B156518A88}"/>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735" t="20206" r="6218" b="13472"/>
        <a:stretch/>
      </xdr:blipFill>
      <xdr:spPr>
        <a:xfrm>
          <a:off x="39376" y="2759763"/>
          <a:ext cx="1465708" cy="1152511"/>
        </a:xfrm>
        <a:prstGeom prst="rect">
          <a:avLst/>
        </a:prstGeom>
      </xdr:spPr>
    </xdr:pic>
    <xdr:clientData/>
  </xdr:twoCellAnchor>
  <xdr:twoCellAnchor>
    <xdr:from>
      <xdr:col>0</xdr:col>
      <xdr:colOff>113247</xdr:colOff>
      <xdr:row>5</xdr:row>
      <xdr:rowOff>155532</xdr:rowOff>
    </xdr:from>
    <xdr:to>
      <xdr:col>5</xdr:col>
      <xdr:colOff>206011</xdr:colOff>
      <xdr:row>7</xdr:row>
      <xdr:rowOff>155531</xdr:rowOff>
    </xdr:to>
    <xdr:sp macro="" textlink="">
      <xdr:nvSpPr>
        <xdr:cNvPr id="12" name="Dikdörtgen: Çapraz Köşeleri Yuvarlatılmış 11">
          <a:hlinkClick xmlns:r="http://schemas.openxmlformats.org/officeDocument/2006/relationships" r:id="rId6"/>
          <a:extLst>
            <a:ext uri="{FF2B5EF4-FFF2-40B4-BE49-F238E27FC236}">
              <a16:creationId xmlns:a16="http://schemas.microsoft.com/office/drawing/2014/main" id="{FD4D1C24-7533-4E83-8E65-CFCE4B3F638A}"/>
            </a:ext>
          </a:extLst>
        </xdr:cNvPr>
        <xdr:cNvSpPr/>
      </xdr:nvSpPr>
      <xdr:spPr>
        <a:xfrm>
          <a:off x="113247" y="1069932"/>
          <a:ext cx="1540564" cy="365759"/>
        </a:xfrm>
        <a:prstGeom prst="round2DiagRect">
          <a:avLst/>
        </a:prstGeom>
        <a:solidFill>
          <a:srgbClr val="19838B"/>
        </a:solidFill>
        <a:ln>
          <a:noFill/>
        </a:ln>
        <a:effectLst>
          <a:outerShdw blurRad="76200" dist="12700" dir="2700000" sy="-23000" kx="-8004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a:t>       Ana Sayfa</a:t>
          </a:r>
        </a:p>
      </xdr:txBody>
    </xdr:sp>
    <xdr:clientData/>
  </xdr:twoCellAnchor>
  <xdr:twoCellAnchor editAs="oneCell">
    <xdr:from>
      <xdr:col>0</xdr:col>
      <xdr:colOff>64513</xdr:colOff>
      <xdr:row>5</xdr:row>
      <xdr:rowOff>124258</xdr:rowOff>
    </xdr:from>
    <xdr:to>
      <xdr:col>1</xdr:col>
      <xdr:colOff>249299</xdr:colOff>
      <xdr:row>8</xdr:row>
      <xdr:rowOff>15673</xdr:rowOff>
    </xdr:to>
    <xdr:pic>
      <xdr:nvPicPr>
        <xdr:cNvPr id="13" name="Resim 12">
          <a:hlinkClick xmlns:r="http://schemas.openxmlformats.org/officeDocument/2006/relationships" r:id="rId6"/>
          <a:extLst>
            <a:ext uri="{FF2B5EF4-FFF2-40B4-BE49-F238E27FC236}">
              <a16:creationId xmlns:a16="http://schemas.microsoft.com/office/drawing/2014/main" id="{9C95A8E2-440E-4D52-8422-DE256590D3D8}"/>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t="5154"/>
        <a:stretch/>
      </xdr:blipFill>
      <xdr:spPr>
        <a:xfrm>
          <a:off x="64513" y="1038658"/>
          <a:ext cx="474346" cy="440056"/>
        </a:xfrm>
        <a:prstGeom prst="rect">
          <a:avLst/>
        </a:prstGeom>
      </xdr:spPr>
    </xdr:pic>
    <xdr:clientData/>
  </xdr:twoCellAnchor>
  <xdr:twoCellAnchor>
    <xdr:from>
      <xdr:col>26</xdr:col>
      <xdr:colOff>129884</xdr:colOff>
      <xdr:row>25</xdr:row>
      <xdr:rowOff>233793</xdr:rowOff>
    </xdr:from>
    <xdr:to>
      <xdr:col>30</xdr:col>
      <xdr:colOff>112567</xdr:colOff>
      <xdr:row>27</xdr:row>
      <xdr:rowOff>77931</xdr:rowOff>
    </xdr:to>
    <xdr:sp macro="[0]!IzinKaydet" textlink="">
      <xdr:nvSpPr>
        <xdr:cNvPr id="14" name="Dikdörtgen 13">
          <a:extLst>
            <a:ext uri="{FF2B5EF4-FFF2-40B4-BE49-F238E27FC236}">
              <a16:creationId xmlns:a16="http://schemas.microsoft.com/office/drawing/2014/main" id="{FEB48D35-3E82-4046-4A70-A4E083F419BE}"/>
            </a:ext>
          </a:extLst>
        </xdr:cNvPr>
        <xdr:cNvSpPr/>
      </xdr:nvSpPr>
      <xdr:spPr>
        <a:xfrm>
          <a:off x="6693475" y="4909702"/>
          <a:ext cx="952501" cy="822615"/>
        </a:xfrm>
        <a:prstGeom prst="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2000" b="1">
              <a:effectLst>
                <a:glow rad="469900">
                  <a:schemeClr val="accent1">
                    <a:alpha val="40000"/>
                  </a:schemeClr>
                </a:glow>
                <a:outerShdw blurRad="647700" dir="8580000" sx="99000" sy="99000" algn="ctr" rotWithShape="0">
                  <a:srgbClr val="000000">
                    <a:alpha val="62000"/>
                  </a:srgbClr>
                </a:outerShdw>
                <a:reflection stA="0" endPos="13000" dist="50800" dir="5400000" sy="-100000" algn="bl" rotWithShape="0"/>
              </a:effectLst>
              <a:latin typeface="+mn-lt"/>
            </a:rPr>
            <a:t>İZİN</a:t>
          </a:r>
          <a:r>
            <a:rPr lang="tr-TR" sz="2000" b="1" baseline="0">
              <a:effectLst>
                <a:glow rad="469900">
                  <a:schemeClr val="accent1">
                    <a:alpha val="40000"/>
                  </a:schemeClr>
                </a:glow>
                <a:outerShdw blurRad="647700" dir="8580000" sx="99000" sy="99000" algn="ctr" rotWithShape="0">
                  <a:srgbClr val="000000">
                    <a:alpha val="62000"/>
                  </a:srgbClr>
                </a:outerShdw>
                <a:reflection stA="0" endPos="13000" dist="50800" dir="5400000" sy="-100000" algn="bl" rotWithShape="0"/>
              </a:effectLst>
              <a:latin typeface="+mn-lt"/>
            </a:rPr>
            <a:t> </a:t>
          </a:r>
          <a:r>
            <a:rPr lang="tr-TR" sz="2400" b="1" baseline="0">
              <a:solidFill>
                <a:schemeClr val="lt1"/>
              </a:solidFill>
              <a:effectLst>
                <a:glow rad="469900">
                  <a:schemeClr val="accent1">
                    <a:alpha val="40000"/>
                  </a:schemeClr>
                </a:glow>
                <a:outerShdw sx="1000" sy="1000" algn="ctr" rotWithShape="0">
                  <a:srgbClr val="000000"/>
                </a:outerShdw>
                <a:reflection stA="0" endPos="0" dist="50800" dir="5400000" sy="-100000" algn="bl" rotWithShape="0"/>
              </a:effectLst>
              <a:latin typeface="+mn-lt"/>
            </a:rPr>
            <a:t>KAYIT</a:t>
          </a:r>
          <a:endParaRPr lang="tr-TR" sz="2000" b="1" baseline="0">
            <a:solidFill>
              <a:schemeClr val="lt1"/>
            </a:solidFill>
            <a:effectLst>
              <a:glow rad="469900">
                <a:schemeClr val="accent1">
                  <a:alpha val="40000"/>
                </a:schemeClr>
              </a:glow>
              <a:outerShdw sx="1000" sy="1000" algn="ctr" rotWithShape="0">
                <a:srgbClr val="000000"/>
              </a:outerShdw>
              <a:reflection stA="0" endPos="0" dist="50800" dir="5400000" sy="-100000" algn="bl" rotWithShape="0"/>
            </a:effectLst>
            <a:latin typeface="+mn-lt"/>
          </a:endParaRPr>
        </a:p>
      </xdr:txBody>
    </xdr:sp>
    <xdr:clientData/>
  </xdr:twoCellAnchor>
  <xdr:twoCellAnchor editAs="oneCell">
    <xdr:from>
      <xdr:col>43</xdr:col>
      <xdr:colOff>242453</xdr:colOff>
      <xdr:row>13</xdr:row>
      <xdr:rowOff>8658</xdr:rowOff>
    </xdr:from>
    <xdr:to>
      <xdr:col>45</xdr:col>
      <xdr:colOff>233795</xdr:colOff>
      <xdr:row>15</xdr:row>
      <xdr:rowOff>164523</xdr:rowOff>
    </xdr:to>
    <xdr:pic macro="[0]!IzinKaydetYazdir">
      <xdr:nvPicPr>
        <xdr:cNvPr id="17" name="Grafik 16" descr="Faks düz dolguyla">
          <a:extLst>
            <a:ext uri="{FF2B5EF4-FFF2-40B4-BE49-F238E27FC236}">
              <a16:creationId xmlns:a16="http://schemas.microsoft.com/office/drawing/2014/main" id="{8B2F750D-AACE-F44B-E608-D31A383DEEA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11066317" y="2389908"/>
          <a:ext cx="519547" cy="519547"/>
        </a:xfrm>
        <a:prstGeom prst="rect">
          <a:avLst/>
        </a:prstGeom>
      </xdr:spPr>
    </xdr:pic>
    <xdr:clientData/>
  </xdr:twoCellAnchor>
  <xdr:twoCellAnchor editAs="oneCell">
    <xdr:from>
      <xdr:col>44</xdr:col>
      <xdr:colOff>164522</xdr:colOff>
      <xdr:row>25</xdr:row>
      <xdr:rowOff>524739</xdr:rowOff>
    </xdr:from>
    <xdr:to>
      <xdr:col>46</xdr:col>
      <xdr:colOff>164522</xdr:colOff>
      <xdr:row>27</xdr:row>
      <xdr:rowOff>74467</xdr:rowOff>
    </xdr:to>
    <xdr:pic macro="[0]!MuafakatnameYazdir">
      <xdr:nvPicPr>
        <xdr:cNvPr id="19" name="Grafik 18" descr="Belge düz dolguyla">
          <a:extLst>
            <a:ext uri="{FF2B5EF4-FFF2-40B4-BE49-F238E27FC236}">
              <a16:creationId xmlns:a16="http://schemas.microsoft.com/office/drawing/2014/main" id="{5E3BCAB4-4428-2BBF-F66F-C31D80CB656A}"/>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230840" y="5200648"/>
          <a:ext cx="528205" cy="528205"/>
        </a:xfrm>
        <a:prstGeom prst="rect">
          <a:avLst/>
        </a:prstGeom>
      </xdr:spPr>
    </xdr:pic>
    <xdr:clientData/>
  </xdr:twoCellAnchor>
  <xdr:twoCellAnchor>
    <xdr:from>
      <xdr:col>48</xdr:col>
      <xdr:colOff>51954</xdr:colOff>
      <xdr:row>1</xdr:row>
      <xdr:rowOff>0</xdr:rowOff>
    </xdr:from>
    <xdr:to>
      <xdr:col>52</xdr:col>
      <xdr:colOff>43295</xdr:colOff>
      <xdr:row>2</xdr:row>
      <xdr:rowOff>138545</xdr:rowOff>
    </xdr:to>
    <xdr:sp macro="[0]!FinalRaporTabloStilli" textlink="">
      <xdr:nvSpPr>
        <xdr:cNvPr id="15" name="Dikdörtgen 14">
          <a:extLst>
            <a:ext uri="{FF2B5EF4-FFF2-40B4-BE49-F238E27FC236}">
              <a16:creationId xmlns:a16="http://schemas.microsoft.com/office/drawing/2014/main" id="{A0D74B72-6E8A-4C43-81A1-B48B6CB22071}"/>
            </a:ext>
          </a:extLst>
        </xdr:cNvPr>
        <xdr:cNvSpPr/>
      </xdr:nvSpPr>
      <xdr:spPr>
        <a:xfrm>
          <a:off x="12131386" y="190500"/>
          <a:ext cx="961159" cy="32904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600" b="1">
              <a:latin typeface="Arial" panose="020B0604020202020204" pitchFamily="34" charset="0"/>
              <a:cs typeface="Arial" panose="020B0604020202020204" pitchFamily="34" charset="0"/>
            </a:rPr>
            <a:t>RAPOR</a:t>
          </a:r>
        </a:p>
      </xdr:txBody>
    </xdr:sp>
    <xdr:clientData/>
  </xdr:twoCellAnchor>
  <xdr:twoCellAnchor editAs="oneCell">
    <xdr:from>
      <xdr:col>35</xdr:col>
      <xdr:colOff>77931</xdr:colOff>
      <xdr:row>25</xdr:row>
      <xdr:rowOff>545523</xdr:rowOff>
    </xdr:from>
    <xdr:to>
      <xdr:col>35</xdr:col>
      <xdr:colOff>675409</xdr:colOff>
      <xdr:row>27</xdr:row>
      <xdr:rowOff>164524</xdr:rowOff>
    </xdr:to>
    <xdr:pic>
      <xdr:nvPicPr>
        <xdr:cNvPr id="18" name="Grafik 17" descr="Uyarı düz dolguyla">
          <a:extLst>
            <a:ext uri="{FF2B5EF4-FFF2-40B4-BE49-F238E27FC236}">
              <a16:creationId xmlns:a16="http://schemas.microsoft.com/office/drawing/2014/main" id="{036893FE-7693-47BE-810C-719111A1135C}"/>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8901545" y="5221432"/>
          <a:ext cx="597478" cy="597478"/>
        </a:xfrm>
        <a:prstGeom prst="rect">
          <a:avLst/>
        </a:prstGeom>
      </xdr:spPr>
    </xdr:pic>
    <xdr:clientData/>
  </xdr:twoCellAnchor>
  <xdr:twoCellAnchor>
    <xdr:from>
      <xdr:col>41</xdr:col>
      <xdr:colOff>60614</xdr:colOff>
      <xdr:row>28</xdr:row>
      <xdr:rowOff>129886</xdr:rowOff>
    </xdr:from>
    <xdr:to>
      <xdr:col>41</xdr:col>
      <xdr:colOff>277092</xdr:colOff>
      <xdr:row>29</xdr:row>
      <xdr:rowOff>138545</xdr:rowOff>
    </xdr:to>
    <xdr:sp macro="" textlink="">
      <xdr:nvSpPr>
        <xdr:cNvPr id="20" name="Ok: Sağ 19">
          <a:extLst>
            <a:ext uri="{FF2B5EF4-FFF2-40B4-BE49-F238E27FC236}">
              <a16:creationId xmlns:a16="http://schemas.microsoft.com/office/drawing/2014/main" id="{88E611F8-93EB-4FEF-9AEB-BA4C6380DD25}"/>
            </a:ext>
          </a:extLst>
        </xdr:cNvPr>
        <xdr:cNvSpPr/>
      </xdr:nvSpPr>
      <xdr:spPr>
        <a:xfrm>
          <a:off x="10338955" y="5983431"/>
          <a:ext cx="216478" cy="207819"/>
        </a:xfrm>
        <a:prstGeom prst="rightArrow">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tr-TR" sz="1100"/>
        </a:p>
      </xdr:txBody>
    </xdr:sp>
    <xdr:clientData/>
  </xdr:twoCellAnchor>
  <xdr:twoCellAnchor>
    <xdr:from>
      <xdr:col>54</xdr:col>
      <xdr:colOff>69273</xdr:colOff>
      <xdr:row>1</xdr:row>
      <xdr:rowOff>43295</xdr:rowOff>
    </xdr:from>
    <xdr:to>
      <xdr:col>58</xdr:col>
      <xdr:colOff>25978</xdr:colOff>
      <xdr:row>3</xdr:row>
      <xdr:rowOff>155864</xdr:rowOff>
    </xdr:to>
    <xdr:sp macro="[0]!IzinCetveli_TarihSabitleme_V29" textlink="">
      <xdr:nvSpPr>
        <xdr:cNvPr id="5" name="Dikdörtgen 4">
          <a:extLst>
            <a:ext uri="{FF2B5EF4-FFF2-40B4-BE49-F238E27FC236}">
              <a16:creationId xmlns:a16="http://schemas.microsoft.com/office/drawing/2014/main" id="{53A95A0F-E5C4-0BD6-87F0-F83930E7A614}"/>
            </a:ext>
          </a:extLst>
        </xdr:cNvPr>
        <xdr:cNvSpPr/>
      </xdr:nvSpPr>
      <xdr:spPr>
        <a:xfrm>
          <a:off x="13603432" y="233795"/>
          <a:ext cx="926523" cy="48491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İZİN CETVELİ OLUŞTUR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19877</xdr:colOff>
      <xdr:row>0</xdr:row>
      <xdr:rowOff>0</xdr:rowOff>
    </xdr:from>
    <xdr:to>
      <xdr:col>5</xdr:col>
      <xdr:colOff>284018</xdr:colOff>
      <xdr:row>4</xdr:row>
      <xdr:rowOff>0</xdr:rowOff>
    </xdr:to>
    <xdr:sp macro="" textlink="">
      <xdr:nvSpPr>
        <xdr:cNvPr id="36" name="Dikdörtgen 35">
          <a:extLst>
            <a:ext uri="{FF2B5EF4-FFF2-40B4-BE49-F238E27FC236}">
              <a16:creationId xmlns:a16="http://schemas.microsoft.com/office/drawing/2014/main" id="{D39820DE-BF82-4859-A889-DB5087722790}"/>
            </a:ext>
          </a:extLst>
        </xdr:cNvPr>
        <xdr:cNvSpPr/>
      </xdr:nvSpPr>
      <xdr:spPr>
        <a:xfrm>
          <a:off x="19877" y="0"/>
          <a:ext cx="1692891" cy="355023"/>
        </a:xfrm>
        <a:prstGeom prst="rect">
          <a:avLst/>
        </a:prstGeom>
        <a:no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800" b="1">
              <a:solidFill>
                <a:schemeClr val="bg1"/>
              </a:solidFill>
              <a:latin typeface="+mn-lt"/>
              <a:cs typeface="Poppins" panose="00000500000000000000" pitchFamily="2" charset="-94"/>
            </a:rPr>
            <a:t>İZİN GİRİŞ</a:t>
          </a:r>
        </a:p>
      </xdr:txBody>
    </xdr:sp>
    <xdr:clientData/>
  </xdr:twoCellAnchor>
  <xdr:twoCellAnchor editAs="oneCell">
    <xdr:from>
      <xdr:col>0</xdr:col>
      <xdr:colOff>134626</xdr:colOff>
      <xdr:row>4</xdr:row>
      <xdr:rowOff>0</xdr:rowOff>
    </xdr:from>
    <xdr:to>
      <xdr:col>5</xdr:col>
      <xdr:colOff>167774</xdr:colOff>
      <xdr:row>10</xdr:row>
      <xdr:rowOff>41721</xdr:rowOff>
    </xdr:to>
    <xdr:pic>
      <xdr:nvPicPr>
        <xdr:cNvPr id="45" name="Resim 44">
          <a:extLst>
            <a:ext uri="{FF2B5EF4-FFF2-40B4-BE49-F238E27FC236}">
              <a16:creationId xmlns:a16="http://schemas.microsoft.com/office/drawing/2014/main" id="{7E497083-15B9-4099-8DFA-3F93EAEA610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735" t="20206" r="6218" b="13472"/>
        <a:stretch/>
      </xdr:blipFill>
      <xdr:spPr>
        <a:xfrm>
          <a:off x="134626" y="465105"/>
          <a:ext cx="1461898" cy="1184721"/>
        </a:xfrm>
        <a:prstGeom prst="rect">
          <a:avLst/>
        </a:prstGeom>
      </xdr:spPr>
    </xdr:pic>
    <xdr:clientData/>
  </xdr:twoCellAnchor>
  <xdr:twoCellAnchor editAs="absolute">
    <xdr:from>
      <xdr:col>13</xdr:col>
      <xdr:colOff>77933</xdr:colOff>
      <xdr:row>3</xdr:row>
      <xdr:rowOff>60614</xdr:rowOff>
    </xdr:from>
    <xdr:to>
      <xdr:col>21</xdr:col>
      <xdr:colOff>17318</xdr:colOff>
      <xdr:row>3</xdr:row>
      <xdr:rowOff>285751</xdr:rowOff>
    </xdr:to>
    <xdr:sp macro="" textlink="Personel!H2">
      <xdr:nvSpPr>
        <xdr:cNvPr id="49" name="Dikdörtgen 48">
          <a:extLst>
            <a:ext uri="{FF2B5EF4-FFF2-40B4-BE49-F238E27FC236}">
              <a16:creationId xmlns:a16="http://schemas.microsoft.com/office/drawing/2014/main" id="{759E1C4D-7D73-47DB-A199-F1CB31ECC1EE}"/>
            </a:ext>
          </a:extLst>
        </xdr:cNvPr>
        <xdr:cNvSpPr>
          <a:spLocks noChangeAspect="1"/>
        </xdr:cNvSpPr>
      </xdr:nvSpPr>
      <xdr:spPr>
        <a:xfrm>
          <a:off x="10217728" y="60614"/>
          <a:ext cx="1879022" cy="225137"/>
        </a:xfrm>
        <a:prstGeom prst="rect">
          <a:avLst/>
        </a:prstGeom>
        <a:solidFill>
          <a:srgbClr val="125E64"/>
        </a:solidFill>
        <a:ln>
          <a:solidFill>
            <a:srgbClr val="1983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0A00834-932B-4033-B65D-2FA8724F31CD}" type="TxLink">
            <a:rPr lang="en-US" sz="1100" b="1" i="0" u="none" strike="noStrike">
              <a:solidFill>
                <a:schemeClr val="bg1"/>
              </a:solidFill>
              <a:latin typeface="Calibri"/>
              <a:ea typeface="Calibri"/>
              <a:cs typeface="Calibri"/>
            </a:rPr>
            <a:pPr algn="ctr"/>
            <a:t>5 Ağustos 2026 Çarşamba</a:t>
          </a:fld>
          <a:endParaRPr lang="tr-TR" sz="1100" b="1">
            <a:solidFill>
              <a:schemeClr val="bg1"/>
            </a:solidFill>
          </a:endParaRPr>
        </a:p>
      </xdr:txBody>
    </xdr:sp>
    <xdr:clientData/>
  </xdr:twoCellAnchor>
  <xdr:twoCellAnchor editAs="oneCell">
    <xdr:from>
      <xdr:col>0</xdr:col>
      <xdr:colOff>17318</xdr:colOff>
      <xdr:row>0</xdr:row>
      <xdr:rowOff>0</xdr:rowOff>
    </xdr:from>
    <xdr:to>
      <xdr:col>1</xdr:col>
      <xdr:colOff>112568</xdr:colOff>
      <xdr:row>4</xdr:row>
      <xdr:rowOff>33408</xdr:rowOff>
    </xdr:to>
    <xdr:pic>
      <xdr:nvPicPr>
        <xdr:cNvPr id="2" name="Resim 1">
          <a:hlinkClick xmlns:r="http://schemas.openxmlformats.org/officeDocument/2006/relationships" r:id="rId2"/>
          <a:extLst>
            <a:ext uri="{FF2B5EF4-FFF2-40B4-BE49-F238E27FC236}">
              <a16:creationId xmlns:a16="http://schemas.microsoft.com/office/drawing/2014/main" id="{0F9D6864-37EE-408F-A319-B3E047CD78E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5154"/>
        <a:stretch/>
      </xdr:blipFill>
      <xdr:spPr>
        <a:xfrm>
          <a:off x="17318" y="0"/>
          <a:ext cx="381000" cy="35379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19878</xdr:colOff>
      <xdr:row>0</xdr:row>
      <xdr:rowOff>1</xdr:rowOff>
    </xdr:from>
    <xdr:to>
      <xdr:col>4</xdr:col>
      <xdr:colOff>233796</xdr:colOff>
      <xdr:row>4</xdr:row>
      <xdr:rowOff>60614</xdr:rowOff>
    </xdr:to>
    <xdr:sp macro="" textlink="">
      <xdr:nvSpPr>
        <xdr:cNvPr id="78" name="Dikdörtgen 77">
          <a:extLst>
            <a:ext uri="{FF2B5EF4-FFF2-40B4-BE49-F238E27FC236}">
              <a16:creationId xmlns:a16="http://schemas.microsoft.com/office/drawing/2014/main" id="{3B5B9201-975D-4664-885A-7DA2AB853219}"/>
            </a:ext>
          </a:extLst>
        </xdr:cNvPr>
        <xdr:cNvSpPr/>
      </xdr:nvSpPr>
      <xdr:spPr>
        <a:xfrm>
          <a:off x="19878" y="1"/>
          <a:ext cx="1356918" cy="415636"/>
        </a:xfrm>
        <a:prstGeom prst="rect">
          <a:avLst/>
        </a:prstGeom>
        <a:no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tr-TR" sz="1800" b="1">
              <a:solidFill>
                <a:schemeClr val="bg1"/>
              </a:solidFill>
              <a:latin typeface="+mn-lt"/>
              <a:cs typeface="Poppins" panose="00000500000000000000" pitchFamily="2" charset="-94"/>
            </a:rPr>
            <a:t>PERSONEL</a:t>
          </a:r>
        </a:p>
      </xdr:txBody>
    </xdr:sp>
    <xdr:clientData/>
  </xdr:twoCellAnchor>
  <xdr:twoCellAnchor editAs="absolute">
    <xdr:from>
      <xdr:col>29</xdr:col>
      <xdr:colOff>74468</xdr:colOff>
      <xdr:row>3</xdr:row>
      <xdr:rowOff>14546</xdr:rowOff>
    </xdr:from>
    <xdr:to>
      <xdr:col>34</xdr:col>
      <xdr:colOff>203178</xdr:colOff>
      <xdr:row>3</xdr:row>
      <xdr:rowOff>337704</xdr:rowOff>
    </xdr:to>
    <xdr:sp macro="" textlink="$H$2">
      <xdr:nvSpPr>
        <xdr:cNvPr id="43" name="Dikdörtgen 42">
          <a:extLst>
            <a:ext uri="{FF2B5EF4-FFF2-40B4-BE49-F238E27FC236}">
              <a16:creationId xmlns:a16="http://schemas.microsoft.com/office/drawing/2014/main" id="{37EF1D3E-80A2-484C-891E-EFE4A3BC850E}"/>
            </a:ext>
          </a:extLst>
        </xdr:cNvPr>
        <xdr:cNvSpPr>
          <a:spLocks noChangeAspect="1"/>
        </xdr:cNvSpPr>
      </xdr:nvSpPr>
      <xdr:spPr>
        <a:xfrm>
          <a:off x="13508182" y="14546"/>
          <a:ext cx="1821562" cy="323158"/>
        </a:xfrm>
        <a:prstGeom prst="rect">
          <a:avLst/>
        </a:prstGeom>
        <a:solidFill>
          <a:srgbClr val="125E64"/>
        </a:solidFill>
        <a:ln>
          <a:solidFill>
            <a:srgbClr val="1983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AD5791C-FDA4-4D1A-ADE2-D07CC8F44B38}" type="TxLink">
            <a:rPr lang="en-US" sz="1100" b="1" i="0" u="none" strike="noStrike">
              <a:solidFill>
                <a:schemeClr val="bg1"/>
              </a:solidFill>
              <a:latin typeface="Calibri"/>
              <a:ea typeface="Calibri"/>
              <a:cs typeface="Calibri"/>
            </a:rPr>
            <a:pPr algn="ctr"/>
            <a:t>5 Ağustos 2026 Çarşamba</a:t>
          </a:fld>
          <a:endParaRPr lang="tr-TR" sz="1100" b="1">
            <a:solidFill>
              <a:schemeClr val="bg1"/>
            </a:solidFill>
          </a:endParaRPr>
        </a:p>
      </xdr:txBody>
    </xdr:sp>
    <xdr:clientData/>
  </xdr:twoCellAnchor>
  <xdr:twoCellAnchor editAs="oneCell">
    <xdr:from>
      <xdr:col>0</xdr:col>
      <xdr:colOff>99990</xdr:colOff>
      <xdr:row>4</xdr:row>
      <xdr:rowOff>153379</xdr:rowOff>
    </xdr:from>
    <xdr:to>
      <xdr:col>4</xdr:col>
      <xdr:colOff>129885</xdr:colOff>
      <xdr:row>10</xdr:row>
      <xdr:rowOff>122559</xdr:rowOff>
    </xdr:to>
    <xdr:pic>
      <xdr:nvPicPr>
        <xdr:cNvPr id="45" name="Resim 44">
          <a:extLst>
            <a:ext uri="{FF2B5EF4-FFF2-40B4-BE49-F238E27FC236}">
              <a16:creationId xmlns:a16="http://schemas.microsoft.com/office/drawing/2014/main" id="{EF65CB02-80C8-D227-3118-D3BE5DF80A4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735" t="20206" r="6218" b="13472"/>
        <a:stretch/>
      </xdr:blipFill>
      <xdr:spPr>
        <a:xfrm>
          <a:off x="99990" y="508402"/>
          <a:ext cx="1172895" cy="1112180"/>
        </a:xfrm>
        <a:prstGeom prst="rect">
          <a:avLst/>
        </a:prstGeom>
      </xdr:spPr>
    </xdr:pic>
    <xdr:clientData/>
  </xdr:twoCellAnchor>
  <xdr:twoCellAnchor>
    <xdr:from>
      <xdr:col>75</xdr:col>
      <xdr:colOff>72736</xdr:colOff>
      <xdr:row>3</xdr:row>
      <xdr:rowOff>58883</xdr:rowOff>
    </xdr:from>
    <xdr:to>
      <xdr:col>81</xdr:col>
      <xdr:colOff>186169</xdr:colOff>
      <xdr:row>3</xdr:row>
      <xdr:rowOff>292678</xdr:rowOff>
    </xdr:to>
    <xdr:sp macro="[0]!PersonelSisteminiGuncelle" textlink="">
      <xdr:nvSpPr>
        <xdr:cNvPr id="2" name="Dikdörtgen 1">
          <a:extLst>
            <a:ext uri="{FF2B5EF4-FFF2-40B4-BE49-F238E27FC236}">
              <a16:creationId xmlns:a16="http://schemas.microsoft.com/office/drawing/2014/main" id="{82CE6BB4-89E5-D8A6-FBB8-96B540741734}"/>
            </a:ext>
          </a:extLst>
        </xdr:cNvPr>
        <xdr:cNvSpPr/>
      </xdr:nvSpPr>
      <xdr:spPr>
        <a:xfrm>
          <a:off x="22246936" y="58883"/>
          <a:ext cx="2304183" cy="23379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1">
              <a:latin typeface="Arial" panose="020B0604020202020204" pitchFamily="34" charset="0"/>
              <a:cs typeface="Arial" panose="020B0604020202020204" pitchFamily="34" charset="0"/>
            </a:rPr>
            <a:t>LİSTEYİ GÜNCELLE</a:t>
          </a:r>
        </a:p>
      </xdr:txBody>
    </xdr:sp>
    <xdr:clientData/>
  </xdr:twoCellAnchor>
  <xdr:twoCellAnchor editAs="oneCell">
    <xdr:from>
      <xdr:col>0</xdr:col>
      <xdr:colOff>8659</xdr:colOff>
      <xdr:row>3</xdr:row>
      <xdr:rowOff>51954</xdr:rowOff>
    </xdr:from>
    <xdr:to>
      <xdr:col>1</xdr:col>
      <xdr:colOff>60614</xdr:colOff>
      <xdr:row>4</xdr:row>
      <xdr:rowOff>10522</xdr:rowOff>
    </xdr:to>
    <xdr:pic>
      <xdr:nvPicPr>
        <xdr:cNvPr id="3" name="Resim 2">
          <a:hlinkClick xmlns:r="http://schemas.openxmlformats.org/officeDocument/2006/relationships" r:id="rId2"/>
          <a:extLst>
            <a:ext uri="{FF2B5EF4-FFF2-40B4-BE49-F238E27FC236}">
              <a16:creationId xmlns:a16="http://schemas.microsoft.com/office/drawing/2014/main" id="{26FF71AE-EA8D-41D6-82E1-D1BDBD77A70F}"/>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5154"/>
        <a:stretch/>
      </xdr:blipFill>
      <xdr:spPr>
        <a:xfrm>
          <a:off x="8659" y="51954"/>
          <a:ext cx="337705" cy="31359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866775</xdr:colOff>
      <xdr:row>0</xdr:row>
      <xdr:rowOff>0</xdr:rowOff>
    </xdr:from>
    <xdr:to>
      <xdr:col>0</xdr:col>
      <xdr:colOff>1095375</xdr:colOff>
      <xdr:row>0</xdr:row>
      <xdr:rowOff>214604</xdr:rowOff>
    </xdr:to>
    <xdr:pic>
      <xdr:nvPicPr>
        <xdr:cNvPr id="3" name="Resim 2">
          <a:hlinkClick xmlns:r="http://schemas.openxmlformats.org/officeDocument/2006/relationships" r:id="rId1"/>
          <a:extLst>
            <a:ext uri="{FF2B5EF4-FFF2-40B4-BE49-F238E27FC236}">
              <a16:creationId xmlns:a16="http://schemas.microsoft.com/office/drawing/2014/main" id="{E1C52331-0DA1-DED1-25DE-5FD5DCDDE138}"/>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artisticGlowEdges/>
                  </a14:imgEffect>
                </a14:imgLayer>
              </a14:imgProps>
            </a:ext>
          </a:extLst>
        </a:blip>
        <a:stretch>
          <a:fillRect/>
        </a:stretch>
      </xdr:blipFill>
      <xdr:spPr>
        <a:xfrm>
          <a:off x="866775" y="0"/>
          <a:ext cx="228600" cy="21460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2</xdr:row>
      <xdr:rowOff>6626</xdr:rowOff>
    </xdr:to>
    <xdr:sp macro="" textlink="">
      <xdr:nvSpPr>
        <xdr:cNvPr id="34" name="Dikdörtgen 33">
          <a:extLst>
            <a:ext uri="{FF2B5EF4-FFF2-40B4-BE49-F238E27FC236}">
              <a16:creationId xmlns:a16="http://schemas.microsoft.com/office/drawing/2014/main" id="{44051BCC-C311-4737-A5EE-6B69A033FBC5}"/>
            </a:ext>
          </a:extLst>
        </xdr:cNvPr>
        <xdr:cNvSpPr/>
      </xdr:nvSpPr>
      <xdr:spPr>
        <a:xfrm>
          <a:off x="19877" y="19878"/>
          <a:ext cx="1711941" cy="901148"/>
        </a:xfrm>
        <a:prstGeom prst="rect">
          <a:avLst/>
        </a:prstGeom>
        <a:no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800" b="1">
              <a:solidFill>
                <a:schemeClr val="bg1"/>
              </a:solidFill>
              <a:latin typeface="+mn-lt"/>
              <a:cs typeface="Poppins" panose="00000500000000000000" pitchFamily="2" charset="-94"/>
            </a:rPr>
            <a:t>TATİL GÜNLER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19877</xdr:colOff>
      <xdr:row>0</xdr:row>
      <xdr:rowOff>19878</xdr:rowOff>
    </xdr:from>
    <xdr:to>
      <xdr:col>5</xdr:col>
      <xdr:colOff>284018</xdr:colOff>
      <xdr:row>5</xdr:row>
      <xdr:rowOff>6626</xdr:rowOff>
    </xdr:to>
    <xdr:sp macro="" textlink="">
      <xdr:nvSpPr>
        <xdr:cNvPr id="22" name="Dikdörtgen 21">
          <a:extLst>
            <a:ext uri="{FF2B5EF4-FFF2-40B4-BE49-F238E27FC236}">
              <a16:creationId xmlns:a16="http://schemas.microsoft.com/office/drawing/2014/main" id="{2ADC2E38-CA3F-4F93-A33C-EB14994AA78D}"/>
            </a:ext>
          </a:extLst>
        </xdr:cNvPr>
        <xdr:cNvSpPr/>
      </xdr:nvSpPr>
      <xdr:spPr>
        <a:xfrm>
          <a:off x="19877" y="19878"/>
          <a:ext cx="1711941" cy="901148"/>
        </a:xfrm>
        <a:prstGeom prst="rect">
          <a:avLst/>
        </a:prstGeom>
        <a:no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800" b="1">
              <a:solidFill>
                <a:schemeClr val="bg1"/>
              </a:solidFill>
              <a:latin typeface="+mn-lt"/>
              <a:cs typeface="Poppins" panose="00000500000000000000" pitchFamily="2" charset="-94"/>
            </a:rPr>
            <a:t>AYARLAR</a:t>
          </a:r>
        </a:p>
      </xdr:txBody>
    </xdr:sp>
    <xdr:clientData/>
  </xdr:twoCellAnchor>
  <xdr:twoCellAnchor>
    <xdr:from>
      <xdr:col>0</xdr:col>
      <xdr:colOff>113247</xdr:colOff>
      <xdr:row>12</xdr:row>
      <xdr:rowOff>20449</xdr:rowOff>
    </xdr:from>
    <xdr:to>
      <xdr:col>5</xdr:col>
      <xdr:colOff>206011</xdr:colOff>
      <xdr:row>14</xdr:row>
      <xdr:rowOff>20450</xdr:rowOff>
    </xdr:to>
    <xdr:sp macro="" textlink="">
      <xdr:nvSpPr>
        <xdr:cNvPr id="23" name="Dikdörtgen: Çapraz Köşeleri Yuvarlatılmış 22">
          <a:hlinkClick xmlns:r="http://schemas.openxmlformats.org/officeDocument/2006/relationships" r:id="rId1"/>
          <a:extLst>
            <a:ext uri="{FF2B5EF4-FFF2-40B4-BE49-F238E27FC236}">
              <a16:creationId xmlns:a16="http://schemas.microsoft.com/office/drawing/2014/main" id="{C0E3E957-5D1C-46C1-82AE-6FE365CB4AAF}"/>
            </a:ext>
          </a:extLst>
        </xdr:cNvPr>
        <xdr:cNvSpPr/>
      </xdr:nvSpPr>
      <xdr:spPr>
        <a:xfrm>
          <a:off x="113247" y="2215009"/>
          <a:ext cx="1540564" cy="365761"/>
        </a:xfrm>
        <a:prstGeom prst="round2DiagRect">
          <a:avLst/>
        </a:prstGeom>
        <a:solidFill>
          <a:srgbClr val="19838B"/>
        </a:solidFill>
        <a:ln>
          <a:noFill/>
        </a:ln>
        <a:effectLst>
          <a:outerShdw blurRad="76200" dist="12700" dir="2700000" sy="-23000" kx="-8004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a:t>       İzin Giriş</a:t>
          </a:r>
        </a:p>
      </xdr:txBody>
    </xdr:sp>
    <xdr:clientData/>
  </xdr:twoCellAnchor>
  <xdr:twoCellAnchor>
    <xdr:from>
      <xdr:col>0</xdr:col>
      <xdr:colOff>113247</xdr:colOff>
      <xdr:row>8</xdr:row>
      <xdr:rowOff>178044</xdr:rowOff>
    </xdr:from>
    <xdr:to>
      <xdr:col>5</xdr:col>
      <xdr:colOff>206011</xdr:colOff>
      <xdr:row>10</xdr:row>
      <xdr:rowOff>178045</xdr:rowOff>
    </xdr:to>
    <xdr:sp macro="" textlink="">
      <xdr:nvSpPr>
        <xdr:cNvPr id="24" name="Dikdörtgen: Çapraz Köşeleri Yuvarlatılmış 23">
          <a:hlinkClick xmlns:r="http://schemas.openxmlformats.org/officeDocument/2006/relationships" r:id="rId2"/>
          <a:extLst>
            <a:ext uri="{FF2B5EF4-FFF2-40B4-BE49-F238E27FC236}">
              <a16:creationId xmlns:a16="http://schemas.microsoft.com/office/drawing/2014/main" id="{82F08619-0442-42F8-85CE-016BBFA11367}"/>
            </a:ext>
          </a:extLst>
        </xdr:cNvPr>
        <xdr:cNvSpPr/>
      </xdr:nvSpPr>
      <xdr:spPr>
        <a:xfrm>
          <a:off x="113247" y="1641084"/>
          <a:ext cx="1540564" cy="365761"/>
        </a:xfrm>
        <a:prstGeom prst="round2DiagRect">
          <a:avLst/>
        </a:prstGeom>
        <a:solidFill>
          <a:srgbClr val="19838B"/>
        </a:solidFill>
        <a:ln>
          <a:noFill/>
        </a:ln>
        <a:effectLst>
          <a:outerShdw blurRad="76200" dist="12700" dir="2700000" sy="-23000" kx="-8004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a:t>       Personel</a:t>
          </a:r>
        </a:p>
      </xdr:txBody>
    </xdr:sp>
    <xdr:clientData/>
  </xdr:twoCellAnchor>
  <xdr:twoCellAnchor>
    <xdr:from>
      <xdr:col>0</xdr:col>
      <xdr:colOff>113247</xdr:colOff>
      <xdr:row>15</xdr:row>
      <xdr:rowOff>42963</xdr:rowOff>
    </xdr:from>
    <xdr:to>
      <xdr:col>5</xdr:col>
      <xdr:colOff>206011</xdr:colOff>
      <xdr:row>17</xdr:row>
      <xdr:rowOff>42962</xdr:rowOff>
    </xdr:to>
    <xdr:sp macro="" textlink="">
      <xdr:nvSpPr>
        <xdr:cNvPr id="25" name="Dikdörtgen: Çapraz Köşeleri Yuvarlatılmış 24">
          <a:hlinkClick xmlns:r="http://schemas.openxmlformats.org/officeDocument/2006/relationships" r:id="rId3"/>
          <a:extLst>
            <a:ext uri="{FF2B5EF4-FFF2-40B4-BE49-F238E27FC236}">
              <a16:creationId xmlns:a16="http://schemas.microsoft.com/office/drawing/2014/main" id="{661B1B73-69D8-46D2-9CA7-0517740FCD6D}"/>
            </a:ext>
          </a:extLst>
        </xdr:cNvPr>
        <xdr:cNvSpPr/>
      </xdr:nvSpPr>
      <xdr:spPr>
        <a:xfrm>
          <a:off x="113247" y="2786163"/>
          <a:ext cx="1540564" cy="365759"/>
        </a:xfrm>
        <a:prstGeom prst="round2DiagRect">
          <a:avLst/>
        </a:prstGeom>
        <a:solidFill>
          <a:srgbClr val="19838B"/>
        </a:solidFill>
        <a:ln>
          <a:noFill/>
        </a:ln>
        <a:effectLst>
          <a:outerShdw blurRad="76200" dist="12700" dir="2700000" sy="-23000" kx="-8004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a:t>      Tatil</a:t>
          </a:r>
          <a:r>
            <a:rPr lang="tr-TR" sz="1400" baseline="0"/>
            <a:t> Günler</a:t>
          </a:r>
          <a:endParaRPr lang="tr-TR" sz="1400"/>
        </a:p>
      </xdr:txBody>
    </xdr:sp>
    <xdr:clientData/>
  </xdr:twoCellAnchor>
  <xdr:twoCellAnchor>
    <xdr:from>
      <xdr:col>0</xdr:col>
      <xdr:colOff>113247</xdr:colOff>
      <xdr:row>18</xdr:row>
      <xdr:rowOff>65476</xdr:rowOff>
    </xdr:from>
    <xdr:to>
      <xdr:col>5</xdr:col>
      <xdr:colOff>206011</xdr:colOff>
      <xdr:row>20</xdr:row>
      <xdr:rowOff>65476</xdr:rowOff>
    </xdr:to>
    <xdr:sp macro="" textlink="">
      <xdr:nvSpPr>
        <xdr:cNvPr id="26" name="Dikdörtgen: Çapraz Köşeleri Yuvarlatılmış 25">
          <a:hlinkClick xmlns:r="http://schemas.openxmlformats.org/officeDocument/2006/relationships" r:id="rId4"/>
          <a:extLst>
            <a:ext uri="{FF2B5EF4-FFF2-40B4-BE49-F238E27FC236}">
              <a16:creationId xmlns:a16="http://schemas.microsoft.com/office/drawing/2014/main" id="{BA237245-C279-4D73-A4A7-57A2D6F07994}"/>
            </a:ext>
          </a:extLst>
        </xdr:cNvPr>
        <xdr:cNvSpPr/>
      </xdr:nvSpPr>
      <xdr:spPr>
        <a:xfrm>
          <a:off x="113247" y="3357316"/>
          <a:ext cx="1540564" cy="365760"/>
        </a:xfrm>
        <a:prstGeom prst="round2DiagRect">
          <a:avLst/>
        </a:prstGeom>
        <a:solidFill>
          <a:srgbClr val="19838B"/>
        </a:solidFill>
        <a:ln>
          <a:noFill/>
        </a:ln>
        <a:effectLst>
          <a:outerShdw blurRad="76200" dist="12700" dir="2700000" sy="-23000" kx="-8004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a:t>       Ayarlar</a:t>
          </a:r>
        </a:p>
      </xdr:txBody>
    </xdr:sp>
    <xdr:clientData/>
  </xdr:twoCellAnchor>
  <xdr:twoCellAnchor editAs="oneCell">
    <xdr:from>
      <xdr:col>0</xdr:col>
      <xdr:colOff>123584</xdr:colOff>
      <xdr:row>9</xdr:row>
      <xdr:rowOff>45184</xdr:rowOff>
    </xdr:from>
    <xdr:to>
      <xdr:col>1</xdr:col>
      <xdr:colOff>176893</xdr:colOff>
      <xdr:row>10</xdr:row>
      <xdr:rowOff>153142</xdr:rowOff>
    </xdr:to>
    <xdr:pic>
      <xdr:nvPicPr>
        <xdr:cNvPr id="27" name="Resim 26">
          <a:hlinkClick xmlns:r="http://schemas.openxmlformats.org/officeDocument/2006/relationships" r:id="rId2"/>
          <a:extLst>
            <a:ext uri="{FF2B5EF4-FFF2-40B4-BE49-F238E27FC236}">
              <a16:creationId xmlns:a16="http://schemas.microsoft.com/office/drawing/2014/main" id="{2D1D2397-3D23-4FDB-9E38-2DCED4FA16CB}"/>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t="7325" b="7496"/>
        <a:stretch/>
      </xdr:blipFill>
      <xdr:spPr>
        <a:xfrm>
          <a:off x="123584" y="1691104"/>
          <a:ext cx="342869" cy="290838"/>
        </a:xfrm>
        <a:prstGeom prst="rect">
          <a:avLst/>
        </a:prstGeom>
      </xdr:spPr>
    </xdr:pic>
    <xdr:clientData/>
  </xdr:twoCellAnchor>
  <xdr:twoCellAnchor editAs="oneCell">
    <xdr:from>
      <xdr:col>0</xdr:col>
      <xdr:colOff>87139</xdr:colOff>
      <xdr:row>11</xdr:row>
      <xdr:rowOff>178842</xdr:rowOff>
    </xdr:from>
    <xdr:to>
      <xdr:col>1</xdr:col>
      <xdr:colOff>213338</xdr:colOff>
      <xdr:row>14</xdr:row>
      <xdr:rowOff>23563</xdr:rowOff>
    </xdr:to>
    <xdr:pic>
      <xdr:nvPicPr>
        <xdr:cNvPr id="28" name="Resim 27">
          <a:hlinkClick xmlns:r="http://schemas.openxmlformats.org/officeDocument/2006/relationships" r:id="rId1"/>
          <a:extLst>
            <a:ext uri="{FF2B5EF4-FFF2-40B4-BE49-F238E27FC236}">
              <a16:creationId xmlns:a16="http://schemas.microsoft.com/office/drawing/2014/main" id="{7477D7F2-FAFC-45BF-B24E-EF804F916B67}"/>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t="5371"/>
        <a:stretch/>
      </xdr:blipFill>
      <xdr:spPr>
        <a:xfrm>
          <a:off x="87139" y="2190522"/>
          <a:ext cx="415759" cy="393361"/>
        </a:xfrm>
        <a:prstGeom prst="rect">
          <a:avLst/>
        </a:prstGeom>
      </xdr:spPr>
    </xdr:pic>
    <xdr:clientData/>
  </xdr:twoCellAnchor>
  <xdr:twoCellAnchor editAs="oneCell">
    <xdr:from>
      <xdr:col>0</xdr:col>
      <xdr:colOff>83185</xdr:colOff>
      <xdr:row>18</xdr:row>
      <xdr:rowOff>61354</xdr:rowOff>
    </xdr:from>
    <xdr:to>
      <xdr:col>1</xdr:col>
      <xdr:colOff>217292</xdr:colOff>
      <xdr:row>20</xdr:row>
      <xdr:rowOff>57525</xdr:rowOff>
    </xdr:to>
    <xdr:pic>
      <xdr:nvPicPr>
        <xdr:cNvPr id="29" name="Resim 28">
          <a:hlinkClick xmlns:r="http://schemas.openxmlformats.org/officeDocument/2006/relationships" r:id="rId4"/>
          <a:extLst>
            <a:ext uri="{FF2B5EF4-FFF2-40B4-BE49-F238E27FC236}">
              <a16:creationId xmlns:a16="http://schemas.microsoft.com/office/drawing/2014/main" id="{605EFDBB-D6E5-4A03-A43C-1683B86DFADA}"/>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47" t="5910" r="447" b="7754"/>
        <a:stretch/>
      </xdr:blipFill>
      <xdr:spPr>
        <a:xfrm flipH="1">
          <a:off x="83185" y="3353194"/>
          <a:ext cx="423667" cy="361931"/>
        </a:xfrm>
        <a:prstGeom prst="rect">
          <a:avLst/>
        </a:prstGeom>
      </xdr:spPr>
    </xdr:pic>
    <xdr:clientData/>
  </xdr:twoCellAnchor>
  <xdr:twoCellAnchor editAs="oneCell">
    <xdr:from>
      <xdr:col>0</xdr:col>
      <xdr:colOff>107294</xdr:colOff>
      <xdr:row>15</xdr:row>
      <xdr:rowOff>49263</xdr:rowOff>
    </xdr:from>
    <xdr:to>
      <xdr:col>1</xdr:col>
      <xdr:colOff>193183</xdr:colOff>
      <xdr:row>17</xdr:row>
      <xdr:rowOff>35653</xdr:rowOff>
    </xdr:to>
    <xdr:pic>
      <xdr:nvPicPr>
        <xdr:cNvPr id="30" name="Resim 29">
          <a:hlinkClick xmlns:r="http://schemas.openxmlformats.org/officeDocument/2006/relationships" r:id="rId3"/>
          <a:extLst>
            <a:ext uri="{FF2B5EF4-FFF2-40B4-BE49-F238E27FC236}">
              <a16:creationId xmlns:a16="http://schemas.microsoft.com/office/drawing/2014/main" id="{13C26635-6529-45C7-BD5D-466F22ABBAE7}"/>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t="5219"/>
        <a:stretch/>
      </xdr:blipFill>
      <xdr:spPr>
        <a:xfrm>
          <a:off x="107294" y="2792463"/>
          <a:ext cx="375449" cy="352150"/>
        </a:xfrm>
        <a:prstGeom prst="rect">
          <a:avLst/>
        </a:prstGeom>
      </xdr:spPr>
    </xdr:pic>
    <xdr:clientData/>
  </xdr:twoCellAnchor>
  <xdr:twoCellAnchor editAs="oneCell">
    <xdr:from>
      <xdr:col>0</xdr:col>
      <xdr:colOff>99990</xdr:colOff>
      <xdr:row>21</xdr:row>
      <xdr:rowOff>92764</xdr:rowOff>
    </xdr:from>
    <xdr:to>
      <xdr:col>5</xdr:col>
      <xdr:colOff>144568</xdr:colOff>
      <xdr:row>27</xdr:row>
      <xdr:rowOff>123055</xdr:rowOff>
    </xdr:to>
    <xdr:pic>
      <xdr:nvPicPr>
        <xdr:cNvPr id="31" name="Resim 30">
          <a:extLst>
            <a:ext uri="{FF2B5EF4-FFF2-40B4-BE49-F238E27FC236}">
              <a16:creationId xmlns:a16="http://schemas.microsoft.com/office/drawing/2014/main" id="{A386F8DA-B205-4191-AE70-F270DC0C9446}"/>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6735" t="20206" r="6218" b="13472"/>
        <a:stretch/>
      </xdr:blipFill>
      <xdr:spPr>
        <a:xfrm>
          <a:off x="99990" y="3933244"/>
          <a:ext cx="1492378" cy="1127571"/>
        </a:xfrm>
        <a:prstGeom prst="rect">
          <a:avLst/>
        </a:prstGeom>
      </xdr:spPr>
    </xdr:pic>
    <xdr:clientData/>
  </xdr:twoCellAnchor>
  <xdr:twoCellAnchor>
    <xdr:from>
      <xdr:col>0</xdr:col>
      <xdr:colOff>113247</xdr:colOff>
      <xdr:row>5</xdr:row>
      <xdr:rowOff>155532</xdr:rowOff>
    </xdr:from>
    <xdr:to>
      <xdr:col>5</xdr:col>
      <xdr:colOff>206011</xdr:colOff>
      <xdr:row>7</xdr:row>
      <xdr:rowOff>155531</xdr:rowOff>
    </xdr:to>
    <xdr:sp macro="" textlink="">
      <xdr:nvSpPr>
        <xdr:cNvPr id="32" name="Dikdörtgen: Çapraz Köşeleri Yuvarlatılmış 31">
          <a:hlinkClick xmlns:r="http://schemas.openxmlformats.org/officeDocument/2006/relationships" r:id="rId10"/>
          <a:extLst>
            <a:ext uri="{FF2B5EF4-FFF2-40B4-BE49-F238E27FC236}">
              <a16:creationId xmlns:a16="http://schemas.microsoft.com/office/drawing/2014/main" id="{99EEBD02-93B9-4025-8FEE-7B636607B825}"/>
            </a:ext>
          </a:extLst>
        </xdr:cNvPr>
        <xdr:cNvSpPr/>
      </xdr:nvSpPr>
      <xdr:spPr>
        <a:xfrm>
          <a:off x="113247" y="1069932"/>
          <a:ext cx="1540564" cy="365759"/>
        </a:xfrm>
        <a:prstGeom prst="round2DiagRect">
          <a:avLst/>
        </a:prstGeom>
        <a:solidFill>
          <a:srgbClr val="19838B"/>
        </a:solidFill>
        <a:ln>
          <a:noFill/>
        </a:ln>
        <a:effectLst>
          <a:outerShdw blurRad="76200" dist="12700" dir="2700000" sy="-23000" kx="-8004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a:t>       Ana Sayfa</a:t>
          </a:r>
        </a:p>
      </xdr:txBody>
    </xdr:sp>
    <xdr:clientData/>
  </xdr:twoCellAnchor>
  <xdr:twoCellAnchor editAs="oneCell">
    <xdr:from>
      <xdr:col>0</xdr:col>
      <xdr:colOff>64513</xdr:colOff>
      <xdr:row>5</xdr:row>
      <xdr:rowOff>124258</xdr:rowOff>
    </xdr:from>
    <xdr:to>
      <xdr:col>1</xdr:col>
      <xdr:colOff>235964</xdr:colOff>
      <xdr:row>8</xdr:row>
      <xdr:rowOff>19484</xdr:rowOff>
    </xdr:to>
    <xdr:pic>
      <xdr:nvPicPr>
        <xdr:cNvPr id="33" name="Resim 32">
          <a:hlinkClick xmlns:r="http://schemas.openxmlformats.org/officeDocument/2006/relationships" r:id="rId10"/>
          <a:extLst>
            <a:ext uri="{FF2B5EF4-FFF2-40B4-BE49-F238E27FC236}">
              <a16:creationId xmlns:a16="http://schemas.microsoft.com/office/drawing/2014/main" id="{BCEE22C1-C6D9-41B1-88D6-04908FD1E6B0}"/>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t="5154"/>
        <a:stretch/>
      </xdr:blipFill>
      <xdr:spPr>
        <a:xfrm>
          <a:off x="64513" y="1038658"/>
          <a:ext cx="461011" cy="443866"/>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456969-2206-42EE-BDE8-EBDF2A9DFDD9}" name="Tablo25" displayName="Tablo25" ref="H4:M86" totalsRowShown="0" headerRowDxfId="119" dataDxfId="117" headerRowBorderDxfId="118" tableBorderDxfId="116" totalsRowBorderDxfId="115">
  <autoFilter ref="H4:M86" xr:uid="{33456969-2206-42EE-BDE8-EBDF2A9DFDD9}"/>
  <sortState xmlns:xlrd2="http://schemas.microsoft.com/office/spreadsheetml/2017/richdata2" ref="H5:M86">
    <sortCondition ref="I4:I86"/>
  </sortState>
  <tableColumns count="6">
    <tableColumn id="11" xr3:uid="{6AF60A6B-A594-422B-B882-1038B7A8B53E}" name="Sicil No" dataDxfId="114"/>
    <tableColumn id="1" xr3:uid="{671456A7-C146-48DE-89A4-16A750338A69}" name="Adı Soyadı" dataDxfId="113"/>
    <tableColumn id="2" xr3:uid="{C65AC85C-1346-4A16-983B-FAEE6B73281C}" name="İzin Başlama Tarihi" dataDxfId="112"/>
    <tableColumn id="10" xr3:uid="{EE673D40-5CE1-4E91-B211-3F3367FB341F}" name="İzin Bitiş Tarihi" dataDxfId="111"/>
    <tableColumn id="3" xr3:uid="{E8168B56-1030-4BF5-96AA-8B3EDE3E6E76}" name="Toplam İzin Günü" dataDxfId="110"/>
    <tableColumn id="4" xr3:uid="{7DB763B0-C64E-488D-8605-659005A41A99}" name="Sütun1" dataDxfId="109">
      <calculatedColumnFormula>IF(H5="","",IF(COUNTIFS($H$4:$H$5217,H5,$J$4:$J$5217,"&lt;="&amp;K5,$K$4:$K$5217,"&gt;="&amp;J5)&gt;1,"TARİH ÇAKIŞMASI",""))</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F648859-2C16-4E5D-AC31-AACAC0C2A242}" name="Tablo3" displayName="Tablo3" ref="H4:BW8" totalsRowShown="0" headerRowDxfId="108" dataDxfId="106" headerRowBorderDxfId="107" tableBorderDxfId="105" totalsRowBorderDxfId="104">
  <autoFilter ref="H4:BW8" xr:uid="{3F648859-2C16-4E5D-AC31-AACAC0C2A242}"/>
  <sortState xmlns:xlrd2="http://schemas.microsoft.com/office/spreadsheetml/2017/richdata2" ref="H5:BW8">
    <sortCondition ref="I4:I8"/>
  </sortState>
  <tableColumns count="68">
    <tableColumn id="1" xr3:uid="{AED53150-7FF6-4034-84C6-B313893E5ED0}" name="Sicil No" dataDxfId="103"/>
    <tableColumn id="2" xr3:uid="{FC7D9D9F-A290-4555-B563-A28A4B39D9B0}" name="Adı Soyadı" dataDxfId="102"/>
    <tableColumn id="7" xr3:uid="{EDFA72C0-585D-4FB7-9030-DFFDFD451AD8}" name="Sütun1" dataDxfId="101">
      <calculatedColumnFormula>Tablo3[[#This Row],[Sicil No]]</calculatedColumnFormula>
    </tableColumn>
    <tableColumn id="3" xr3:uid="{D8359FA9-900D-41BC-99F9-311726AECEA7}" name="DEPARTMAN" dataDxfId="100"/>
    <tableColumn id="4" xr3:uid="{9283AF04-07C8-4E48-95FE-25FB61C013AD}" name="İşe Giriş Tarihi" dataDxfId="99"/>
    <tableColumn id="5" xr3:uid="{3B34FC2E-454B-432E-A364-072A001C3F65}" name="Doğum Tarihi" dataDxfId="98"/>
    <tableColumn id="6" xr3:uid="{65290195-4E49-400A-BE35-7E2946A8A063}" name="Yaş" dataDxfId="97">
      <calculatedColumnFormula>IF(Tablo3[[#This Row],[Doğum Tarihi]]="","",YEAR($H$2)-YEAR(Tablo3[[#This Row],[Doğum Tarihi]]))</calculatedColumnFormula>
    </tableColumn>
    <tableColumn id="11" xr3:uid="{18A14786-9FF0-40CC-AFE3-F27D3DAD4F0F}" name="Kıdem" dataDxfId="96">
      <calculatedColumnFormula>IF(Tablo3[[#This Row],[Doğum Tarihi]]="","",DATEDIF(Tablo3[[#This Row],[İşe Giriş Tarihi]],$H$2,"Y"))</calculatedColumnFormula>
    </tableColumn>
    <tableColumn id="8" xr3:uid="{0307F29B-9974-4C29-A89C-AD554FA9F9C8}" name="Toplam Hakediş" dataDxfId="95">
      <calculatedColumnFormula>SUM(Tablo3[[#This Row],[1995]:[2050]])</calculatedColumnFormula>
    </tableColumn>
    <tableColumn id="9" xr3:uid="{41708554-CE20-457D-B819-50C682D156EE}" name="Kullanılan İzin" dataDxfId="94">
      <calculatedColumnFormula>SUMIF(Tablo25[Sicil No],Tablo3[[#This Row],[Sicil No]],Tablo25[Toplam İzin Günü])</calculatedColumnFormula>
    </tableColumn>
    <tableColumn id="10" xr3:uid="{92B27BB1-A49F-4C2A-B81A-4E91045DD178}" name="Kalan İzin" dataDxfId="93">
      <calculatedColumnFormula>Tablo3[[#This Row],[Toplam Hakediş]]-Tablo3[[#This Row],[Kullanılan İzin]]</calculatedColumnFormula>
    </tableColumn>
    <tableColumn id="12" xr3:uid="{C62FF9EE-3A6A-48B3-8304-9C333A35B495}" name="1995" dataDxfId="92">
      <calculatedColumnFormula>IF(AND(INT(DATE(Veri2!A$1,MONTH($L5),DAY($L5))-DATE(YEAR($M5),MONTH($M5),DAY($M5)))/365.25&gt;=50,
IF(OR($I5="",$L5="",Veri2!A$1&lt;=YEAR($L5),Veri2!A$1&gt;YEAR(TODAY())),"",IF(AND(Veri2!A$1-YEAR($L5)&gt;=1,YEAR(TODAY())&lt;&gt;Veri2!A$1),
LOOKUP(VALUE("31"&amp;"."&amp;"12"&amp;"."&amp;Veri2!A$1)-$L5,{365,2190,5476},{14,20,26}),
IF(AND(YEAR(TODAY())=Veri2!A$1,TODAY()-VALUE(DAY($L5)&amp;"."&amp;MONTH($L5)&amp;"."&amp;YEAR(TODAY())-1)&gt;=365),
LOOKUP(VALUE(DAY(TODAY())&amp;"."&amp;MONTH(TODAY())&amp;"."&amp;Veri2!A$1)-$L5,{0,365,2190,5476},{0,14,20,26}),
IF(AND(YEAR(TODAY())=Veri2!A$1,TODAY()-VALUE(DAY($L5)&amp;"."&amp;MONTH($L5)&amp;"."&amp;YEAR(TODAY())-1)&lt;365),""))))=14),
IF(OR($I5="",$L5="",Veri2!A$1&lt;=YEAR($L5),Veri2!A$1&gt;YEAR(TODAY())),"",IF(AND(Veri2!A$1-YEAR($L5)&gt;=1,YEAR(TODAY())&lt;&gt;Veri2!A$1),
LOOKUP(VALUE("31"&amp;"."&amp;"12"&amp;"."&amp;Veri2!A$1)-$L5,{365,2190,5476},{20,20,26}),
IF(AND(YEAR(TODAY())=Veri2!A$1,TODAY()-VALUE(DAY($L5)&amp;"."&amp;MONTH($L5)&amp;"."&amp;YEAR(TODAY())-1)&gt;=365),
LOOKUP(VALUE(DAY(TODAY())&amp;"."&amp;MONTH(TODAY())&amp;"."&amp;Veri2!A$1)-$L5,{0,365,2190,5476},{0,20,20,26}),
IF(AND(YEAR(TODAY())=Veri2!A$1,TODAY()-VALUE(DAY($L5)&amp;"."&amp;MONTH($L5)&amp;"."&amp;YEAR(TODAY())-1)&lt;365),"")))),
IF(OR($I5="",$L5="",Veri2!A$1&lt;=YEAR($L5),Veri2!A$1&gt;YEAR(TODAY())),"",IF(AND(Veri2!A$1-YEAR($L5)&gt;=1,YEAR(TODAY())&lt;&gt;Veri2!A$1),
LOOKUP(VALUE("31"&amp;"."&amp;"12"&amp;"."&amp;Veri2!A$1)-$L5,{365,2190,5476},{14,20,26}),
IF(AND(YEAR(TODAY())=Veri2!A$1,TODAY()-VALUE(DAY($L5)&amp;"."&amp;MONTH($L5)&amp;"."&amp;YEAR(TODAY())-1)&gt;=365),
LOOKUP(VALUE(DAY(TODAY())&amp;"."&amp;MONTH(TODAY())&amp;"."&amp;Veri2!A$1)-$L5,{0,365,2190,5476},{0,14,20,26}),
IF(AND(YEAR(TODAY())=Veri2!A$1,TODAY()-VALUE(DAY($L5)&amp;"."&amp;MONTH($L5)&amp;"."&amp;YEAR(TODAY())-1)&lt;365),"")))))</calculatedColumnFormula>
    </tableColumn>
    <tableColumn id="13" xr3:uid="{D63F7247-1937-49B5-B17C-05BF84846E1C}" name="1996" dataDxfId="91">
      <calculatedColumnFormula>IF(AND(INT(DATE(Veri2!B$1,MONTH($L5),DAY($L5))-DATE(YEAR($M5),MONTH($M5),DAY($M5)))/365.25&gt;=50,
IF(OR($I5="",$L5="",Veri2!B$1&lt;=YEAR($L5),Veri2!B$1&gt;YEAR(TODAY())),"",IF(AND(Veri2!B$1-YEAR($L5)&gt;=1,YEAR(TODAY())&lt;&gt;Veri2!B$1),
LOOKUP(VALUE("31"&amp;"."&amp;"12"&amp;"."&amp;Veri2!B$1)-$L5,{365,2190,5476},{14,20,26}),
IF(AND(YEAR(TODAY())=Veri2!B$1,TODAY()-VALUE(DAY($L5)&amp;"."&amp;MONTH($L5)&amp;"."&amp;YEAR(TODAY())-1)&gt;=365),
LOOKUP(VALUE(DAY(TODAY())&amp;"."&amp;MONTH(TODAY())&amp;"."&amp;Veri2!B$1)-$L5,{0,365,2190,5476},{0,14,20,26}),
IF(AND(YEAR(TODAY())=Veri2!B$1,TODAY()-VALUE(DAY($L5)&amp;"."&amp;MONTH($L5)&amp;"."&amp;YEAR(TODAY())-1)&lt;365),""))))=14),
IF(OR($I5="",$L5="",Veri2!B$1&lt;=YEAR($L5),Veri2!B$1&gt;YEAR(TODAY())),"",IF(AND(Veri2!B$1-YEAR($L5)&gt;=1,YEAR(TODAY())&lt;&gt;Veri2!B$1),
LOOKUP(VALUE("31"&amp;"."&amp;"12"&amp;"."&amp;Veri2!B$1)-$L5,{365,2190,5476},{20,20,26}),
IF(AND(YEAR(TODAY())=Veri2!B$1,TODAY()-VALUE(DAY($L5)&amp;"."&amp;MONTH($L5)&amp;"."&amp;YEAR(TODAY())-1)&gt;=365),
LOOKUP(VALUE(DAY(TODAY())&amp;"."&amp;MONTH(TODAY())&amp;"."&amp;Veri2!B$1)-$L5,{0,365,2190,5476},{0,20,20,26}),
IF(AND(YEAR(TODAY())=Veri2!B$1,TODAY()-VALUE(DAY($L5)&amp;"."&amp;MONTH($L5)&amp;"."&amp;YEAR(TODAY())-1)&lt;365),"")))),
IF(OR($I5="",$L5="",Veri2!B$1&lt;=YEAR($L5),Veri2!B$1&gt;YEAR(TODAY())),"",IF(AND(Veri2!B$1-YEAR($L5)&gt;=1,YEAR(TODAY())&lt;&gt;Veri2!B$1),
LOOKUP(VALUE("31"&amp;"."&amp;"12"&amp;"."&amp;Veri2!B$1)-$L5,{365,2190,5476},{14,20,26}),
IF(AND(YEAR(TODAY())=Veri2!B$1,TODAY()-VALUE(DAY($L5)&amp;"."&amp;MONTH($L5)&amp;"."&amp;YEAR(TODAY())-1)&gt;=365),
LOOKUP(VALUE(DAY(TODAY())&amp;"."&amp;MONTH(TODAY())&amp;"."&amp;Veri2!B$1)-$L5,{0,365,2190,5476},{0,14,20,26}),
IF(AND(YEAR(TODAY())=Veri2!B$1,TODAY()-VALUE(DAY($L5)&amp;"."&amp;MONTH($L5)&amp;"."&amp;YEAR(TODAY())-1)&lt;365),"")))))</calculatedColumnFormula>
    </tableColumn>
    <tableColumn id="14" xr3:uid="{B9FFE485-36F5-442A-98BB-46F29FFC4C5F}" name="1997" dataDxfId="90">
      <calculatedColumnFormula>IF(AND(INT(DATE(Veri2!C$1,MONTH($L5),DAY($L5))-DATE(YEAR($M5),MONTH($M5),DAY($M5)))/365.25&gt;=50,
IF(OR($I5="",$L5="",Veri2!C$1&lt;=YEAR($L5),Veri2!C$1&gt;YEAR(TODAY())),"",IF(AND(Veri2!C$1-YEAR($L5)&gt;=1,YEAR(TODAY())&lt;&gt;Veri2!C$1),
LOOKUP(VALUE("31"&amp;"."&amp;"12"&amp;"."&amp;Veri2!C$1)-$L5,{365,2190,5476},{14,20,26}),
IF(AND(YEAR(TODAY())=Veri2!C$1,TODAY()-VALUE(DAY($L5)&amp;"."&amp;MONTH($L5)&amp;"."&amp;YEAR(TODAY())-1)&gt;=365),
LOOKUP(VALUE(DAY(TODAY())&amp;"."&amp;MONTH(TODAY())&amp;"."&amp;Veri2!C$1)-$L5,{0,365,2190,5476},{0,14,20,26}),
IF(AND(YEAR(TODAY())=Veri2!C$1,TODAY()-VALUE(DAY($L5)&amp;"."&amp;MONTH($L5)&amp;"."&amp;YEAR(TODAY())-1)&lt;365),""))))=14),
IF(OR($I5="",$L5="",Veri2!C$1&lt;=YEAR($L5),Veri2!C$1&gt;YEAR(TODAY())),"",IF(AND(Veri2!C$1-YEAR($L5)&gt;=1,YEAR(TODAY())&lt;&gt;Veri2!C$1),
LOOKUP(VALUE("31"&amp;"."&amp;"12"&amp;"."&amp;Veri2!C$1)-$L5,{365,2190,5476},{20,20,26}),
IF(AND(YEAR(TODAY())=Veri2!C$1,TODAY()-VALUE(DAY($L5)&amp;"."&amp;MONTH($L5)&amp;"."&amp;YEAR(TODAY())-1)&gt;=365),
LOOKUP(VALUE(DAY(TODAY())&amp;"."&amp;MONTH(TODAY())&amp;"."&amp;Veri2!C$1)-$L5,{0,365,2190,5476},{0,20,20,26}),
IF(AND(YEAR(TODAY())=Veri2!C$1,TODAY()-VALUE(DAY($L5)&amp;"."&amp;MONTH($L5)&amp;"."&amp;YEAR(TODAY())-1)&lt;365),"")))),
IF(OR($I5="",$L5="",Veri2!C$1&lt;=YEAR($L5),Veri2!C$1&gt;YEAR(TODAY())),"",IF(AND(Veri2!C$1-YEAR($L5)&gt;=1,YEAR(TODAY())&lt;&gt;Veri2!C$1),
LOOKUP(VALUE("31"&amp;"."&amp;"12"&amp;"."&amp;Veri2!C$1)-$L5,{365,2190,5476},{14,20,26}),
IF(AND(YEAR(TODAY())=Veri2!C$1,TODAY()-VALUE(DAY($L5)&amp;"."&amp;MONTH($L5)&amp;"."&amp;YEAR(TODAY())-1)&gt;=365),
LOOKUP(VALUE(DAY(TODAY())&amp;"."&amp;MONTH(TODAY())&amp;"."&amp;Veri2!C$1)-$L5,{0,365,2190,5476},{0,14,20,26}),
IF(AND(YEAR(TODAY())=Veri2!C$1,TODAY()-VALUE(DAY($L5)&amp;"."&amp;MONTH($L5)&amp;"."&amp;YEAR(TODAY())-1)&lt;365),"")))))</calculatedColumnFormula>
    </tableColumn>
    <tableColumn id="15" xr3:uid="{611869D2-8544-46D4-B1C8-D08F877214E3}" name="1998" dataDxfId="89">
      <calculatedColumnFormula>IF(AND(INT(DATE(Veri2!D$1,MONTH($L5),DAY($L5))-DATE(YEAR($M5),MONTH($M5),DAY($M5)))/365.25&gt;=50,
IF(OR($I5="",$L5="",Veri2!D$1&lt;=YEAR($L5),Veri2!D$1&gt;YEAR(TODAY())),"",IF(AND(Veri2!D$1-YEAR($L5)&gt;=1,YEAR(TODAY())&lt;&gt;Veri2!D$1),
LOOKUP(VALUE("31"&amp;"."&amp;"12"&amp;"."&amp;Veri2!D$1)-$L5,{365,2190,5476},{14,20,26}),
IF(AND(YEAR(TODAY())=Veri2!D$1,TODAY()-VALUE(DAY($L5)&amp;"."&amp;MONTH($L5)&amp;"."&amp;YEAR(TODAY())-1)&gt;=365),
LOOKUP(VALUE(DAY(TODAY())&amp;"."&amp;MONTH(TODAY())&amp;"."&amp;Veri2!D$1)-$L5,{0,365,2190,5476},{0,14,20,26}),
IF(AND(YEAR(TODAY())=Veri2!D$1,TODAY()-VALUE(DAY($L5)&amp;"."&amp;MONTH($L5)&amp;"."&amp;YEAR(TODAY())-1)&lt;365),""))))=14),
IF(OR($I5="",$L5="",Veri2!D$1&lt;=YEAR($L5),Veri2!D$1&gt;YEAR(TODAY())),"",IF(AND(Veri2!D$1-YEAR($L5)&gt;=1,YEAR(TODAY())&lt;&gt;Veri2!D$1),
LOOKUP(VALUE("31"&amp;"."&amp;"12"&amp;"."&amp;Veri2!D$1)-$L5,{365,2190,5476},{20,20,26}),
IF(AND(YEAR(TODAY())=Veri2!D$1,TODAY()-VALUE(DAY($L5)&amp;"."&amp;MONTH($L5)&amp;"."&amp;YEAR(TODAY())-1)&gt;=365),
LOOKUP(VALUE(DAY(TODAY())&amp;"."&amp;MONTH(TODAY())&amp;"."&amp;Veri2!D$1)-$L5,{0,365,2190,5476},{0,20,20,26}),
IF(AND(YEAR(TODAY())=Veri2!D$1,TODAY()-VALUE(DAY($L5)&amp;"."&amp;MONTH($L5)&amp;"."&amp;YEAR(TODAY())-1)&lt;365),"")))),
IF(OR($I5="",$L5="",Veri2!D$1&lt;=YEAR($L5),Veri2!D$1&gt;YEAR(TODAY())),"",IF(AND(Veri2!D$1-YEAR($L5)&gt;=1,YEAR(TODAY())&lt;&gt;Veri2!D$1),
LOOKUP(VALUE("31"&amp;"."&amp;"12"&amp;"."&amp;Veri2!D$1)-$L5,{365,2190,5476},{14,20,26}),
IF(AND(YEAR(TODAY())=Veri2!D$1,TODAY()-VALUE(DAY($L5)&amp;"."&amp;MONTH($L5)&amp;"."&amp;YEAR(TODAY())-1)&gt;=365),
LOOKUP(VALUE(DAY(TODAY())&amp;"."&amp;MONTH(TODAY())&amp;"."&amp;Veri2!D$1)-$L5,{0,365,2190,5476},{0,14,20,26}),
IF(AND(YEAR(TODAY())=Veri2!D$1,TODAY()-VALUE(DAY($L5)&amp;"."&amp;MONTH($L5)&amp;"."&amp;YEAR(TODAY())-1)&lt;365),"")))))</calculatedColumnFormula>
    </tableColumn>
    <tableColumn id="16" xr3:uid="{34C4B1EE-EAFF-43A1-8833-2D1A528D9151}" name="1999" dataDxfId="88">
      <calculatedColumnFormula>IF(AND(INT(DATE(Veri2!E$1,MONTH($L5),DAY($L5))-DATE(YEAR($M5),MONTH($M5),DAY($M5)))/365.25&gt;=50,
IF(OR($I5="",$L5="",Veri2!E$1&lt;=YEAR($L5),Veri2!E$1&gt;YEAR(TODAY())),"",IF(AND(Veri2!E$1-YEAR($L5)&gt;=1,YEAR(TODAY())&lt;&gt;Veri2!E$1),
LOOKUP(VALUE("31"&amp;"."&amp;"12"&amp;"."&amp;Veri2!E$1)-$L5,{365,2190,5476},{14,20,26}),
IF(AND(YEAR(TODAY())=Veri2!E$1,TODAY()-VALUE(DAY($L5)&amp;"."&amp;MONTH($L5)&amp;"."&amp;YEAR(TODAY())-1)&gt;=365),
LOOKUP(VALUE(DAY(TODAY())&amp;"."&amp;MONTH(TODAY())&amp;"."&amp;Veri2!E$1)-$L5,{0,365,2190,5476},{0,14,20,26}),
IF(AND(YEAR(TODAY())=Veri2!E$1,TODAY()-VALUE(DAY($L5)&amp;"."&amp;MONTH($L5)&amp;"."&amp;YEAR(TODAY())-1)&lt;365),""))))=14),
IF(OR($I5="",$L5="",Veri2!E$1&lt;=YEAR($L5),Veri2!E$1&gt;YEAR(TODAY())),"",IF(AND(Veri2!E$1-YEAR($L5)&gt;=1,YEAR(TODAY())&lt;&gt;Veri2!E$1),
LOOKUP(VALUE("31"&amp;"."&amp;"12"&amp;"."&amp;Veri2!E$1)-$L5,{365,2190,5476},{20,20,26}),
IF(AND(YEAR(TODAY())=Veri2!E$1,TODAY()-VALUE(DAY($L5)&amp;"."&amp;MONTH($L5)&amp;"."&amp;YEAR(TODAY())-1)&gt;=365),
LOOKUP(VALUE(DAY(TODAY())&amp;"."&amp;MONTH(TODAY())&amp;"."&amp;Veri2!E$1)-$L5,{0,365,2190,5476},{0,20,20,26}),
IF(AND(YEAR(TODAY())=Veri2!E$1,TODAY()-VALUE(DAY($L5)&amp;"."&amp;MONTH($L5)&amp;"."&amp;YEAR(TODAY())-1)&lt;365),"")))),
IF(OR($I5="",$L5="",Veri2!E$1&lt;=YEAR($L5),Veri2!E$1&gt;YEAR(TODAY())),"",IF(AND(Veri2!E$1-YEAR($L5)&gt;=1,YEAR(TODAY())&lt;&gt;Veri2!E$1),
LOOKUP(VALUE("31"&amp;"."&amp;"12"&amp;"."&amp;Veri2!E$1)-$L5,{365,2190,5476},{14,20,26}),
IF(AND(YEAR(TODAY())=Veri2!E$1,TODAY()-VALUE(DAY($L5)&amp;"."&amp;MONTH($L5)&amp;"."&amp;YEAR(TODAY())-1)&gt;=365),
LOOKUP(VALUE(DAY(TODAY())&amp;"."&amp;MONTH(TODAY())&amp;"."&amp;Veri2!E$1)-$L5,{0,365,2190,5476},{0,14,20,26}),
IF(AND(YEAR(TODAY())=Veri2!E$1,TODAY()-VALUE(DAY($L5)&amp;"."&amp;MONTH($L5)&amp;"."&amp;YEAR(TODAY())-1)&lt;365),"")))))</calculatedColumnFormula>
    </tableColumn>
    <tableColumn id="17" xr3:uid="{C5FCF63A-A523-410A-A3AC-E7CBF2609A44}" name="2000" dataDxfId="87">
      <calculatedColumnFormula>IF(AND(INT(DATE(Veri2!F$1,MONTH($L5),DAY($L5))-DATE(YEAR($M5),MONTH($M5),DAY($M5)))/365.25&gt;=50,
IF(OR($I5="",$L5="",Veri2!F$1&lt;=YEAR($L5),Veri2!F$1&gt;YEAR(TODAY())),"",IF(AND(Veri2!F$1-YEAR($L5)&gt;=1,YEAR(TODAY())&lt;&gt;Veri2!F$1),
LOOKUP(VALUE("31"&amp;"."&amp;"12"&amp;"."&amp;Veri2!F$1)-$L5,{365,2190,5476},{14,20,26}),
IF(AND(YEAR(TODAY())=Veri2!F$1,TODAY()-VALUE(DAY($L5)&amp;"."&amp;MONTH($L5)&amp;"."&amp;YEAR(TODAY())-1)&gt;=365),
LOOKUP(VALUE(DAY(TODAY())&amp;"."&amp;MONTH(TODAY())&amp;"."&amp;Veri2!F$1)-$L5,{0,365,2190,5476},{0,14,20,26}),
IF(AND(YEAR(TODAY())=Veri2!F$1,TODAY()-VALUE(DAY($L5)&amp;"."&amp;MONTH($L5)&amp;"."&amp;YEAR(TODAY())-1)&lt;365),""))))=14),
IF(OR($I5="",$L5="",Veri2!F$1&lt;=YEAR($L5),Veri2!F$1&gt;YEAR(TODAY())),"",IF(AND(Veri2!F$1-YEAR($L5)&gt;=1,YEAR(TODAY())&lt;&gt;Veri2!F$1),
LOOKUP(VALUE("31"&amp;"."&amp;"12"&amp;"."&amp;Veri2!F$1)-$L5,{365,2190,5476},{20,20,26}),
IF(AND(YEAR(TODAY())=Veri2!F$1,TODAY()-VALUE(DAY($L5)&amp;"."&amp;MONTH($L5)&amp;"."&amp;YEAR(TODAY())-1)&gt;=365),
LOOKUP(VALUE(DAY(TODAY())&amp;"."&amp;MONTH(TODAY())&amp;"."&amp;Veri2!F$1)-$L5,{0,365,2190,5476},{0,20,20,26}),
IF(AND(YEAR(TODAY())=Veri2!F$1,TODAY()-VALUE(DAY($L5)&amp;"."&amp;MONTH($L5)&amp;"."&amp;YEAR(TODAY())-1)&lt;365),"")))),
IF(OR($I5="",$L5="",Veri2!F$1&lt;=YEAR($L5),Veri2!F$1&gt;YEAR(TODAY())),"",IF(AND(Veri2!F$1-YEAR($L5)&gt;=1,YEAR(TODAY())&lt;&gt;Veri2!F$1),
LOOKUP(VALUE("31"&amp;"."&amp;"12"&amp;"."&amp;Veri2!F$1)-$L5,{365,2190,5476},{14,20,26}),
IF(AND(YEAR(TODAY())=Veri2!F$1,TODAY()-VALUE(DAY($L5)&amp;"."&amp;MONTH($L5)&amp;"."&amp;YEAR(TODAY())-1)&gt;=365),
LOOKUP(VALUE(DAY(TODAY())&amp;"."&amp;MONTH(TODAY())&amp;"."&amp;Veri2!F$1)-$L5,{0,365,2190,5476},{0,14,20,26}),
IF(AND(YEAR(TODAY())=Veri2!F$1,TODAY()-VALUE(DAY($L5)&amp;"."&amp;MONTH($L5)&amp;"."&amp;YEAR(TODAY())-1)&lt;365),"")))))</calculatedColumnFormula>
    </tableColumn>
    <tableColumn id="18" xr3:uid="{A41BD689-2216-4BA2-BDDA-F8F4702AD62B}" name="2001" dataDxfId="86">
      <calculatedColumnFormula>IF(AND(INT(DATE(Veri2!G$1,MONTH($L5),DAY($L5))-DATE(YEAR($M5),MONTH($M5),DAY($M5)))/365.25&gt;=50,
IF(OR($I5="",$L5="",Veri2!G$1&lt;=YEAR($L5),Veri2!G$1&gt;YEAR(TODAY())),"",IF(AND(Veri2!G$1-YEAR($L5)&gt;=1,YEAR(TODAY())&lt;&gt;Veri2!G$1),
LOOKUP(VALUE("31"&amp;"."&amp;"12"&amp;"."&amp;Veri2!G$1)-$L5,{365,2190,5476},{14,20,26}),
IF(AND(YEAR(TODAY())=Veri2!G$1,TODAY()-VALUE(DAY($L5)&amp;"."&amp;MONTH($L5)&amp;"."&amp;YEAR(TODAY())-1)&gt;=365),
LOOKUP(VALUE(DAY(TODAY())&amp;"."&amp;MONTH(TODAY())&amp;"."&amp;Veri2!G$1)-$L5,{0,365,2190,5476},{0,14,20,26}),
IF(AND(YEAR(TODAY())=Veri2!G$1,TODAY()-VALUE(DAY($L5)&amp;"."&amp;MONTH($L5)&amp;"."&amp;YEAR(TODAY())-1)&lt;365),""))))=14),
IF(OR($I5="",$L5="",Veri2!G$1&lt;=YEAR($L5),Veri2!G$1&gt;YEAR(TODAY())),"",IF(AND(Veri2!G$1-YEAR($L5)&gt;=1,YEAR(TODAY())&lt;&gt;Veri2!G$1),
LOOKUP(VALUE("31"&amp;"."&amp;"12"&amp;"."&amp;Veri2!G$1)-$L5,{365,2190,5476},{20,20,26}),
IF(AND(YEAR(TODAY())=Veri2!G$1,TODAY()-VALUE(DAY($L5)&amp;"."&amp;MONTH($L5)&amp;"."&amp;YEAR(TODAY())-1)&gt;=365),
LOOKUP(VALUE(DAY(TODAY())&amp;"."&amp;MONTH(TODAY())&amp;"."&amp;Veri2!G$1)-$L5,{0,365,2190,5476},{0,20,20,26}),
IF(AND(YEAR(TODAY())=Veri2!G$1,TODAY()-VALUE(DAY($L5)&amp;"."&amp;MONTH($L5)&amp;"."&amp;YEAR(TODAY())-1)&lt;365),"")))),
IF(OR($I5="",$L5="",Veri2!G$1&lt;=YEAR($L5),Veri2!G$1&gt;YEAR(TODAY())),"",IF(AND(Veri2!G$1-YEAR($L5)&gt;=1,YEAR(TODAY())&lt;&gt;Veri2!G$1),
LOOKUP(VALUE("31"&amp;"."&amp;"12"&amp;"."&amp;Veri2!G$1)-$L5,{365,2190,5476},{14,20,26}),
IF(AND(YEAR(TODAY())=Veri2!G$1,TODAY()-VALUE(DAY($L5)&amp;"."&amp;MONTH($L5)&amp;"."&amp;YEAR(TODAY())-1)&gt;=365),
LOOKUP(VALUE(DAY(TODAY())&amp;"."&amp;MONTH(TODAY())&amp;"."&amp;Veri2!G$1)-$L5,{0,365,2190,5476},{0,14,20,26}),
IF(AND(YEAR(TODAY())=Veri2!G$1,TODAY()-VALUE(DAY($L5)&amp;"."&amp;MONTH($L5)&amp;"."&amp;YEAR(TODAY())-1)&lt;365),"")))))</calculatedColumnFormula>
    </tableColumn>
    <tableColumn id="19" xr3:uid="{15B06EA5-A16A-4574-8B93-635D88A313C2}" name="2002" dataDxfId="85">
      <calculatedColumnFormula>IF(AND(INT(DATE(Veri2!H$1,MONTH($L5),DAY($L5))-DATE(YEAR($M5),MONTH($M5),DAY($M5)))/365.25&gt;=50,
IF(OR($I5="",$L5="",Veri2!H$1&lt;=YEAR($L5),Veri2!H$1&gt;YEAR(TODAY())),"",IF(AND(Veri2!H$1-YEAR($L5)&gt;=1,YEAR(TODAY())&lt;&gt;Veri2!H$1),
LOOKUP(VALUE("31"&amp;"."&amp;"12"&amp;"."&amp;Veri2!H$1)-$L5,{365,2190,5476},{14,20,26}),
IF(AND(YEAR(TODAY())=Veri2!H$1,TODAY()-VALUE(DAY($L5)&amp;"."&amp;MONTH($L5)&amp;"."&amp;YEAR(TODAY())-1)&gt;=365),
LOOKUP(VALUE(DAY(TODAY())&amp;"."&amp;MONTH(TODAY())&amp;"."&amp;Veri2!H$1)-$L5,{0,365,2190,5476},{0,14,20,26}),
IF(AND(YEAR(TODAY())=Veri2!H$1,TODAY()-VALUE(DAY($L5)&amp;"."&amp;MONTH($L5)&amp;"."&amp;YEAR(TODAY())-1)&lt;365),""))))=14),
IF(OR($I5="",$L5="",Veri2!H$1&lt;=YEAR($L5),Veri2!H$1&gt;YEAR(TODAY())),"",IF(AND(Veri2!H$1-YEAR($L5)&gt;=1,YEAR(TODAY())&lt;&gt;Veri2!H$1),
LOOKUP(VALUE("31"&amp;"."&amp;"12"&amp;"."&amp;Veri2!H$1)-$L5,{365,2190,5476},{20,20,26}),
IF(AND(YEAR(TODAY())=Veri2!H$1,TODAY()-VALUE(DAY($L5)&amp;"."&amp;MONTH($L5)&amp;"."&amp;YEAR(TODAY())-1)&gt;=365),
LOOKUP(VALUE(DAY(TODAY())&amp;"."&amp;MONTH(TODAY())&amp;"."&amp;Veri2!H$1)-$L5,{0,365,2190,5476},{0,20,20,26}),
IF(AND(YEAR(TODAY())=Veri2!H$1,TODAY()-VALUE(DAY($L5)&amp;"."&amp;MONTH($L5)&amp;"."&amp;YEAR(TODAY())-1)&lt;365),"")))),
IF(OR($I5="",$L5="",Veri2!H$1&lt;=YEAR($L5),Veri2!H$1&gt;YEAR(TODAY())),"",IF(AND(Veri2!H$1-YEAR($L5)&gt;=1,YEAR(TODAY())&lt;&gt;Veri2!H$1),
LOOKUP(VALUE("31"&amp;"."&amp;"12"&amp;"."&amp;Veri2!H$1)-$L5,{365,2190,5476},{14,20,26}),
IF(AND(YEAR(TODAY())=Veri2!H$1,TODAY()-VALUE(DAY($L5)&amp;"."&amp;MONTH($L5)&amp;"."&amp;YEAR(TODAY())-1)&gt;=365),
LOOKUP(VALUE(DAY(TODAY())&amp;"."&amp;MONTH(TODAY())&amp;"."&amp;Veri2!H$1)-$L5,{0,365,2190,5476},{0,14,20,26}),
IF(AND(YEAR(TODAY())=Veri2!H$1,TODAY()-VALUE(DAY($L5)&amp;"."&amp;MONTH($L5)&amp;"."&amp;YEAR(TODAY())-1)&lt;365),"")))))</calculatedColumnFormula>
    </tableColumn>
    <tableColumn id="20" xr3:uid="{827D935D-AB8D-4025-AE64-845C2794D491}" name="2003" dataDxfId="84">
      <calculatedColumnFormula>IF(AND(INT(DATE(Veri2!I$1,MONTH($L5),DAY($L5))-DATE(YEAR($M5),MONTH($M5),DAY($M5)))/365.25&gt;=50,
IF(OR($I5="",$L5="",Veri2!I$1&lt;=YEAR($L5),Veri2!I$1&gt;YEAR(TODAY())),"",IF(AND(Veri2!I$1-YEAR($L5)&gt;=1,YEAR(TODAY())&lt;&gt;Veri2!I$1),
LOOKUP(VALUE("31"&amp;"."&amp;"12"&amp;"."&amp;Veri2!I$1)-$L5,{365,2190,5476},{14,20,26}),
IF(AND(YEAR(TODAY())=Veri2!I$1,TODAY()-VALUE(DAY($L5)&amp;"."&amp;MONTH($L5)&amp;"."&amp;YEAR(TODAY())-1)&gt;=365),
LOOKUP(VALUE(DAY(TODAY())&amp;"."&amp;MONTH(TODAY())&amp;"."&amp;Veri2!I$1)-$L5,{0,365,2190,5476},{0,14,20,26}),
IF(AND(YEAR(TODAY())=Veri2!I$1,TODAY()-VALUE(DAY($L5)&amp;"."&amp;MONTH($L5)&amp;"."&amp;YEAR(TODAY())-1)&lt;365),""))))=14),
IF(OR($I5="",$L5="",Veri2!I$1&lt;=YEAR($L5),Veri2!I$1&gt;YEAR(TODAY())),"",IF(AND(Veri2!I$1-YEAR($L5)&gt;=1,YEAR(TODAY())&lt;&gt;Veri2!I$1),
LOOKUP(VALUE("31"&amp;"."&amp;"12"&amp;"."&amp;Veri2!I$1)-$L5,{365,2190,5476},{20,20,26}),
IF(AND(YEAR(TODAY())=Veri2!I$1,TODAY()-VALUE(DAY($L5)&amp;"."&amp;MONTH($L5)&amp;"."&amp;YEAR(TODAY())-1)&gt;=365),
LOOKUP(VALUE(DAY(TODAY())&amp;"."&amp;MONTH(TODAY())&amp;"."&amp;Veri2!I$1)-$L5,{0,365,2190,5476},{0,20,20,26}),
IF(AND(YEAR(TODAY())=Veri2!I$1,TODAY()-VALUE(DAY($L5)&amp;"."&amp;MONTH($L5)&amp;"."&amp;YEAR(TODAY())-1)&lt;365),"")))),
IF(OR($I5="",$L5="",Veri2!I$1&lt;=YEAR($L5),Veri2!I$1&gt;YEAR(TODAY())),"",IF(AND(Veri2!I$1-YEAR($L5)&gt;=1,YEAR(TODAY())&lt;&gt;Veri2!I$1),
LOOKUP(VALUE("31"&amp;"."&amp;"12"&amp;"."&amp;Veri2!I$1)-$L5,{365,2190,5476},{14,20,26}),
IF(AND(YEAR(TODAY())=Veri2!I$1,TODAY()-VALUE(DAY($L5)&amp;"."&amp;MONTH($L5)&amp;"."&amp;YEAR(TODAY())-1)&gt;=365),
LOOKUP(VALUE(DAY(TODAY())&amp;"."&amp;MONTH(TODAY())&amp;"."&amp;Veri2!I$1)-$L5,{0,365,2190,5476},{0,14,20,26}),
IF(AND(YEAR(TODAY())=Veri2!I$1,TODAY()-VALUE(DAY($L5)&amp;"."&amp;MONTH($L5)&amp;"."&amp;YEAR(TODAY())-1)&lt;365),"")))))</calculatedColumnFormula>
    </tableColumn>
    <tableColumn id="21" xr3:uid="{18D5C093-2046-47AC-9386-09A51DC02AB0}" name="2004" dataDxfId="83">
      <calculatedColumnFormula>IF(AND(INT(DATE(Veri2!J$1,MONTH($L5),DAY($L5))-DATE(YEAR($M5),MONTH($M5),DAY($M5)))/365.25&gt;=50,
IF(OR($I5="",$L5="",Veri2!J$1&lt;=YEAR($L5),Veri2!J$1&gt;YEAR(TODAY())),"",IF(AND(Veri2!J$1-YEAR($L5)&gt;=1,YEAR(TODAY())&lt;&gt;Veri2!J$1),
LOOKUP(VALUE("31"&amp;"."&amp;"12"&amp;"."&amp;Veri2!J$1)-$L5,{365,2190,5476},{14,20,26}),
IF(AND(YEAR(TODAY())=Veri2!J$1,TODAY()-VALUE(DAY($L5)&amp;"."&amp;MONTH($L5)&amp;"."&amp;YEAR(TODAY())-1)&gt;=365),
LOOKUP(VALUE(DAY(TODAY())&amp;"."&amp;MONTH(TODAY())&amp;"."&amp;Veri2!J$1)-$L5,{0,365,2190,5476},{0,14,20,26}),
IF(AND(YEAR(TODAY())=Veri2!J$1,TODAY()-VALUE(DAY($L5)&amp;"."&amp;MONTH($L5)&amp;"."&amp;YEAR(TODAY())-1)&lt;365),""))))=14),
IF(OR($I5="",$L5="",Veri2!J$1&lt;=YEAR($L5),Veri2!J$1&gt;YEAR(TODAY())),"",IF(AND(Veri2!J$1-YEAR($L5)&gt;=1,YEAR(TODAY())&lt;&gt;Veri2!J$1),
LOOKUP(VALUE("31"&amp;"."&amp;"12"&amp;"."&amp;Veri2!J$1)-$L5,{365,2190,5476},{20,20,26}),
IF(AND(YEAR(TODAY())=Veri2!J$1,TODAY()-VALUE(DAY($L5)&amp;"."&amp;MONTH($L5)&amp;"."&amp;YEAR(TODAY())-1)&gt;=365),
LOOKUP(VALUE(DAY(TODAY())&amp;"."&amp;MONTH(TODAY())&amp;"."&amp;Veri2!J$1)-$L5,{0,365,2190,5476},{0,20,20,26}),
IF(AND(YEAR(TODAY())=Veri2!J$1,TODAY()-VALUE(DAY($L5)&amp;"."&amp;MONTH($L5)&amp;"."&amp;YEAR(TODAY())-1)&lt;365),"")))),
IF(OR($I5="",$L5="",Veri2!J$1&lt;=YEAR($L5),Veri2!J$1&gt;YEAR(TODAY())),"",IF(AND(Veri2!J$1-YEAR($L5)&gt;=1,YEAR(TODAY())&lt;&gt;Veri2!J$1),
LOOKUP(VALUE("31"&amp;"."&amp;"12"&amp;"."&amp;Veri2!J$1)-$L5,{365,2190,5476},{14,20,26}),
IF(AND(YEAR(TODAY())=Veri2!J$1,TODAY()-VALUE(DAY($L5)&amp;"."&amp;MONTH($L5)&amp;"."&amp;YEAR(TODAY())-1)&gt;=365),
LOOKUP(VALUE(DAY(TODAY())&amp;"."&amp;MONTH(TODAY())&amp;"."&amp;Veri2!J$1)-$L5,{0,365,2190,5476},{0,14,20,26}),
IF(AND(YEAR(TODAY())=Veri2!J$1,TODAY()-VALUE(DAY($L5)&amp;"."&amp;MONTH($L5)&amp;"."&amp;YEAR(TODAY())-1)&lt;365),"")))))</calculatedColumnFormula>
    </tableColumn>
    <tableColumn id="22" xr3:uid="{776E3493-D003-404B-850F-3A6334D24B7C}" name="2005" dataDxfId="82">
      <calculatedColumnFormula>IF(AND(INT(DATE(Veri2!K$1,MONTH($L5),DAY($L5))-DATE(YEAR($M5),MONTH($M5),DAY($M5)))/365.25&gt;=50,
IF(OR($I5="",$L5="",Veri2!K$1&lt;=YEAR($L5),Veri2!K$1&gt;YEAR(TODAY())),"",IF(AND(Veri2!K$1-YEAR($L5)&gt;=1,YEAR(TODAY())&lt;&gt;Veri2!K$1),
LOOKUP(VALUE("31"&amp;"."&amp;"12"&amp;"."&amp;Veri2!K$1)-$L5,{365,2190,5476},{14,20,26}),
IF(AND(YEAR(TODAY())=Veri2!K$1,TODAY()-VALUE(DAY($L5)&amp;"."&amp;MONTH($L5)&amp;"."&amp;YEAR(TODAY())-1)&gt;=365),
LOOKUP(VALUE(DAY(TODAY())&amp;"."&amp;MONTH(TODAY())&amp;"."&amp;Veri2!K$1)-$L5,{0,365,2190,5476},{0,14,20,26}),
IF(AND(YEAR(TODAY())=Veri2!K$1,TODAY()-VALUE(DAY($L5)&amp;"."&amp;MONTH($L5)&amp;"."&amp;YEAR(TODAY())-1)&lt;365),""))))=14),
IF(OR($I5="",$L5="",Veri2!K$1&lt;=YEAR($L5),Veri2!K$1&gt;YEAR(TODAY())),"",IF(AND(Veri2!K$1-YEAR($L5)&gt;=1,YEAR(TODAY())&lt;&gt;Veri2!K$1),
LOOKUP(VALUE("31"&amp;"."&amp;"12"&amp;"."&amp;Veri2!K$1)-$L5,{365,2190,5476},{20,20,26}),
IF(AND(YEAR(TODAY())=Veri2!K$1,TODAY()-VALUE(DAY($L5)&amp;"."&amp;MONTH($L5)&amp;"."&amp;YEAR(TODAY())-1)&gt;=365),
LOOKUP(VALUE(DAY(TODAY())&amp;"."&amp;MONTH(TODAY())&amp;"."&amp;Veri2!K$1)-$L5,{0,365,2190,5476},{0,20,20,26}),
IF(AND(YEAR(TODAY())=Veri2!K$1,TODAY()-VALUE(DAY($L5)&amp;"."&amp;MONTH($L5)&amp;"."&amp;YEAR(TODAY())-1)&lt;365),"")))),
IF(OR($I5="",$L5="",Veri2!K$1&lt;=YEAR($L5),Veri2!K$1&gt;YEAR(TODAY())),"",IF(AND(Veri2!K$1-YEAR($L5)&gt;=1,YEAR(TODAY())&lt;&gt;Veri2!K$1),
LOOKUP(VALUE("31"&amp;"."&amp;"12"&amp;"."&amp;Veri2!K$1)-$L5,{365,2190,5476},{14,20,26}),
IF(AND(YEAR(TODAY())=Veri2!K$1,TODAY()-VALUE(DAY($L5)&amp;"."&amp;MONTH($L5)&amp;"."&amp;YEAR(TODAY())-1)&gt;=365),
LOOKUP(VALUE(DAY(TODAY())&amp;"."&amp;MONTH(TODAY())&amp;"."&amp;Veri2!K$1)-$L5,{0,365,2190,5476},{0,14,20,26}),
IF(AND(YEAR(TODAY())=Veri2!K$1,TODAY()-VALUE(DAY($L5)&amp;"."&amp;MONTH($L5)&amp;"."&amp;YEAR(TODAY())-1)&lt;365),"")))))</calculatedColumnFormula>
    </tableColumn>
    <tableColumn id="23" xr3:uid="{3752F937-4679-44D9-B2FD-D854E6E33D23}" name="2006" dataDxfId="81">
      <calculatedColumnFormula>IF(AND(INT(DATE(Veri2!L$1,MONTH($L5),DAY($L5))-DATE(YEAR($M5),MONTH($M5),DAY($M5)))/365.25&gt;=50,
IF(OR($I5="",$L5="",Veri2!L$1&lt;=YEAR($L5),Veri2!L$1&gt;YEAR(TODAY())),"",IF(AND(Veri2!L$1-YEAR($L5)&gt;=1,YEAR(TODAY())&lt;&gt;Veri2!L$1),
LOOKUP(VALUE("31"&amp;"."&amp;"12"&amp;"."&amp;Veri2!L$1)-$L5,{365,2190,5476},{14,20,26}),
IF(AND(YEAR(TODAY())=Veri2!L$1,TODAY()-VALUE(DAY($L5)&amp;"."&amp;MONTH($L5)&amp;"."&amp;YEAR(TODAY())-1)&gt;=365),
LOOKUP(VALUE(DAY(TODAY())&amp;"."&amp;MONTH(TODAY())&amp;"."&amp;Veri2!L$1)-$L5,{0,365,2190,5476},{0,14,20,26}),
IF(AND(YEAR(TODAY())=Veri2!L$1,TODAY()-VALUE(DAY($L5)&amp;"."&amp;MONTH($L5)&amp;"."&amp;YEAR(TODAY())-1)&lt;365),""))))=14),
IF(OR($I5="",$L5="",Veri2!L$1&lt;=YEAR($L5),Veri2!L$1&gt;YEAR(TODAY())),"",IF(AND(Veri2!L$1-YEAR($L5)&gt;=1,YEAR(TODAY())&lt;&gt;Veri2!L$1),
LOOKUP(VALUE("31"&amp;"."&amp;"12"&amp;"."&amp;Veri2!L$1)-$L5,{365,2190,5476},{20,20,26}),
IF(AND(YEAR(TODAY())=Veri2!L$1,TODAY()-VALUE(DAY($L5)&amp;"."&amp;MONTH($L5)&amp;"."&amp;YEAR(TODAY())-1)&gt;=365),
LOOKUP(VALUE(DAY(TODAY())&amp;"."&amp;MONTH(TODAY())&amp;"."&amp;Veri2!L$1)-$L5,{0,365,2190,5476},{0,20,20,26}),
IF(AND(YEAR(TODAY())=Veri2!L$1,TODAY()-VALUE(DAY($L5)&amp;"."&amp;MONTH($L5)&amp;"."&amp;YEAR(TODAY())-1)&lt;365),"")))),
IF(OR($I5="",$L5="",Veri2!L$1&lt;=YEAR($L5),Veri2!L$1&gt;YEAR(TODAY())),"",IF(AND(Veri2!L$1-YEAR($L5)&gt;=1,YEAR(TODAY())&lt;&gt;Veri2!L$1),
LOOKUP(VALUE("31"&amp;"."&amp;"12"&amp;"."&amp;Veri2!L$1)-$L5,{365,2190,5476},{14,20,26}),
IF(AND(YEAR(TODAY())=Veri2!L$1,TODAY()-VALUE(DAY($L5)&amp;"."&amp;MONTH($L5)&amp;"."&amp;YEAR(TODAY())-1)&gt;=365),
LOOKUP(VALUE(DAY(TODAY())&amp;"."&amp;MONTH(TODAY())&amp;"."&amp;Veri2!L$1)-$L5,{0,365,2190,5476},{0,14,20,26}),
IF(AND(YEAR(TODAY())=Veri2!L$1,TODAY()-VALUE(DAY($L5)&amp;"."&amp;MONTH($L5)&amp;"."&amp;YEAR(TODAY())-1)&lt;365),"")))))</calculatedColumnFormula>
    </tableColumn>
    <tableColumn id="24" xr3:uid="{C85ABB71-880F-4EBE-82C9-DB59F47DDF54}" name="2007" dataDxfId="80">
      <calculatedColumnFormula>IF(AND(INT(DATE(Veri2!M$1,MONTH($L5),DAY($L5))-DATE(YEAR($M5),MONTH($M5),DAY($M5)))/365.25&gt;=50,
IF(OR($I5="",$L5="",Veri2!M$1&lt;=YEAR($L5),Veri2!M$1&gt;YEAR(TODAY())),"",IF(AND(Veri2!M$1-YEAR($L5)&gt;=1,YEAR(TODAY())&lt;&gt;Veri2!M$1),
LOOKUP(VALUE("31"&amp;"."&amp;"12"&amp;"."&amp;Veri2!M$1)-$L5,{365,2190,5476},{14,20,26}),
IF(AND(YEAR(TODAY())=Veri2!M$1,TODAY()-VALUE(DAY($L5)&amp;"."&amp;MONTH($L5)&amp;"."&amp;YEAR(TODAY())-1)&gt;=365),
LOOKUP(VALUE(DAY(TODAY())&amp;"."&amp;MONTH(TODAY())&amp;"."&amp;Veri2!M$1)-$L5,{0,365,2190,5476},{0,14,20,26}),
IF(AND(YEAR(TODAY())=Veri2!M$1,TODAY()-VALUE(DAY($L5)&amp;"."&amp;MONTH($L5)&amp;"."&amp;YEAR(TODAY())-1)&lt;365),""))))=14),
IF(OR($I5="",$L5="",Veri2!M$1&lt;=YEAR($L5),Veri2!M$1&gt;YEAR(TODAY())),"",IF(AND(Veri2!M$1-YEAR($L5)&gt;=1,YEAR(TODAY())&lt;&gt;Veri2!M$1),
LOOKUP(VALUE("31"&amp;"."&amp;"12"&amp;"."&amp;Veri2!M$1)-$L5,{365,2190,5476},{20,20,26}),
IF(AND(YEAR(TODAY())=Veri2!M$1,TODAY()-VALUE(DAY($L5)&amp;"."&amp;MONTH($L5)&amp;"."&amp;YEAR(TODAY())-1)&gt;=365),
LOOKUP(VALUE(DAY(TODAY())&amp;"."&amp;MONTH(TODAY())&amp;"."&amp;Veri2!M$1)-$L5,{0,365,2190,5476},{0,20,20,26}),
IF(AND(YEAR(TODAY())=Veri2!M$1,TODAY()-VALUE(DAY($L5)&amp;"."&amp;MONTH($L5)&amp;"."&amp;YEAR(TODAY())-1)&lt;365),"")))),
IF(OR($I5="",$L5="",Veri2!M$1&lt;=YEAR($L5),Veri2!M$1&gt;YEAR(TODAY())),"",IF(AND(Veri2!M$1-YEAR($L5)&gt;=1,YEAR(TODAY())&lt;&gt;Veri2!M$1),
LOOKUP(VALUE("31"&amp;"."&amp;"12"&amp;"."&amp;Veri2!M$1)-$L5,{365,2190,5476},{14,20,26}),
IF(AND(YEAR(TODAY())=Veri2!M$1,TODAY()-VALUE(DAY($L5)&amp;"."&amp;MONTH($L5)&amp;"."&amp;YEAR(TODAY())-1)&gt;=365),
LOOKUP(VALUE(DAY(TODAY())&amp;"."&amp;MONTH(TODAY())&amp;"."&amp;Veri2!M$1)-$L5,{0,365,2190,5476},{0,14,20,26}),
IF(AND(YEAR(TODAY())=Veri2!M$1,TODAY()-VALUE(DAY($L5)&amp;"."&amp;MONTH($L5)&amp;"."&amp;YEAR(TODAY())-1)&lt;365),"")))))</calculatedColumnFormula>
    </tableColumn>
    <tableColumn id="25" xr3:uid="{DF57A880-F64A-409E-8885-458958C21F23}" name="2008" dataDxfId="79">
      <calculatedColumnFormula>IF(AND(INT(DATE(Veri2!N$1,MONTH($L5),DAY($L5))-DATE(YEAR($M5),MONTH($M5),DAY($M5)))/365.25&gt;=50,
IF(OR($I5="",$L5="",Veri2!N$1&lt;=YEAR($L5),Veri2!N$1&gt;YEAR(TODAY())),"",IF(AND(Veri2!N$1-YEAR($L5)&gt;=1,YEAR(TODAY())&lt;&gt;Veri2!N$1),
LOOKUP(VALUE("31"&amp;"."&amp;"12"&amp;"."&amp;Veri2!N$1)-$L5,{365,2190,5476},{14,20,26}),
IF(AND(YEAR(TODAY())=Veri2!N$1,TODAY()-VALUE(DAY($L5)&amp;"."&amp;MONTH($L5)&amp;"."&amp;YEAR(TODAY())-1)&gt;=365),
LOOKUP(VALUE(DAY(TODAY())&amp;"."&amp;MONTH(TODAY())&amp;"."&amp;Veri2!N$1)-$L5,{0,365,2190,5476},{0,14,20,26}),
IF(AND(YEAR(TODAY())=Veri2!N$1,TODAY()-VALUE(DAY($L5)&amp;"."&amp;MONTH($L5)&amp;"."&amp;YEAR(TODAY())-1)&lt;365),""))))=14),
IF(OR($I5="",$L5="",Veri2!N$1&lt;=YEAR($L5),Veri2!N$1&gt;YEAR(TODAY())),"",IF(AND(Veri2!N$1-YEAR($L5)&gt;=1,YEAR(TODAY())&lt;&gt;Veri2!N$1),
LOOKUP(VALUE("31"&amp;"."&amp;"12"&amp;"."&amp;Veri2!N$1)-$L5,{365,2190,5476},{20,20,26}),
IF(AND(YEAR(TODAY())=Veri2!N$1,TODAY()-VALUE(DAY($L5)&amp;"."&amp;MONTH($L5)&amp;"."&amp;YEAR(TODAY())-1)&gt;=365),
LOOKUP(VALUE(DAY(TODAY())&amp;"."&amp;MONTH(TODAY())&amp;"."&amp;Veri2!N$1)-$L5,{0,365,2190,5476},{0,20,20,26}),
IF(AND(YEAR(TODAY())=Veri2!N$1,TODAY()-VALUE(DAY($L5)&amp;"."&amp;MONTH($L5)&amp;"."&amp;YEAR(TODAY())-1)&lt;365),"")))),
IF(OR($I5="",$L5="",Veri2!N$1&lt;=YEAR($L5),Veri2!N$1&gt;YEAR(TODAY())),"",IF(AND(Veri2!N$1-YEAR($L5)&gt;=1,YEAR(TODAY())&lt;&gt;Veri2!N$1),
LOOKUP(VALUE("31"&amp;"."&amp;"12"&amp;"."&amp;Veri2!N$1)-$L5,{365,2190,5476},{14,20,26}),
IF(AND(YEAR(TODAY())=Veri2!N$1,TODAY()-VALUE(DAY($L5)&amp;"."&amp;MONTH($L5)&amp;"."&amp;YEAR(TODAY())-1)&gt;=365),
LOOKUP(VALUE(DAY(TODAY())&amp;"."&amp;MONTH(TODAY())&amp;"."&amp;Veri2!N$1)-$L5,{0,365,2190,5476},{0,14,20,26}),
IF(AND(YEAR(TODAY())=Veri2!N$1,TODAY()-VALUE(DAY($L5)&amp;"."&amp;MONTH($L5)&amp;"."&amp;YEAR(TODAY())-1)&lt;365),"")))))</calculatedColumnFormula>
    </tableColumn>
    <tableColumn id="26" xr3:uid="{E0C9C589-033F-4DED-BFC8-FC7FE9C53391}" name="2009" dataDxfId="78">
      <calculatedColumnFormula>IF(AND(INT(DATE(Veri2!O$1,MONTH($L5),DAY($L5))-DATE(YEAR($M5),MONTH($M5),DAY($M5)))/365.25&gt;=50,
IF(OR($I5="",$L5="",Veri2!O$1&lt;=YEAR($L5),Veri2!O$1&gt;YEAR(TODAY())),"",IF(AND(Veri2!O$1-YEAR($L5)&gt;=1,YEAR(TODAY())&lt;&gt;Veri2!O$1),
LOOKUP(VALUE("31"&amp;"."&amp;"12"&amp;"."&amp;Veri2!O$1)-$L5,{365,2190,5476},{14,20,26}),
IF(AND(YEAR(TODAY())=Veri2!O$1,TODAY()-VALUE(DAY($L5)&amp;"."&amp;MONTH($L5)&amp;"."&amp;YEAR(TODAY())-1)&gt;=365),
LOOKUP(VALUE(DAY(TODAY())&amp;"."&amp;MONTH(TODAY())&amp;"."&amp;Veri2!O$1)-$L5,{0,365,2190,5476},{0,14,20,26}),
IF(AND(YEAR(TODAY())=Veri2!O$1,TODAY()-VALUE(DAY($L5)&amp;"."&amp;MONTH($L5)&amp;"."&amp;YEAR(TODAY())-1)&lt;365),""))))=14),
IF(OR($I5="",$L5="",Veri2!O$1&lt;=YEAR($L5),Veri2!O$1&gt;YEAR(TODAY())),"",IF(AND(Veri2!O$1-YEAR($L5)&gt;=1,YEAR(TODAY())&lt;&gt;Veri2!O$1),
LOOKUP(VALUE("31"&amp;"."&amp;"12"&amp;"."&amp;Veri2!O$1)-$L5,{365,2190,5476},{20,20,26}),
IF(AND(YEAR(TODAY())=Veri2!O$1,TODAY()-VALUE(DAY($L5)&amp;"."&amp;MONTH($L5)&amp;"."&amp;YEAR(TODAY())-1)&gt;=365),
LOOKUP(VALUE(DAY(TODAY())&amp;"."&amp;MONTH(TODAY())&amp;"."&amp;Veri2!O$1)-$L5,{0,365,2190,5476},{0,20,20,26}),
IF(AND(YEAR(TODAY())=Veri2!O$1,TODAY()-VALUE(DAY($L5)&amp;"."&amp;MONTH($L5)&amp;"."&amp;YEAR(TODAY())-1)&lt;365),"")))),
IF(OR($I5="",$L5="",Veri2!O$1&lt;=YEAR($L5),Veri2!O$1&gt;YEAR(TODAY())),"",IF(AND(Veri2!O$1-YEAR($L5)&gt;=1,YEAR(TODAY())&lt;&gt;Veri2!O$1),
LOOKUP(VALUE("31"&amp;"."&amp;"12"&amp;"."&amp;Veri2!O$1)-$L5,{365,2190,5476},{14,20,26}),
IF(AND(YEAR(TODAY())=Veri2!O$1,TODAY()-VALUE(DAY($L5)&amp;"."&amp;MONTH($L5)&amp;"."&amp;YEAR(TODAY())-1)&gt;=365),
LOOKUP(VALUE(DAY(TODAY())&amp;"."&amp;MONTH(TODAY())&amp;"."&amp;Veri2!O$1)-$L5,{0,365,2190,5476},{0,14,20,26}),
IF(AND(YEAR(TODAY())=Veri2!O$1,TODAY()-VALUE(DAY($L5)&amp;"."&amp;MONTH($L5)&amp;"."&amp;YEAR(TODAY())-1)&lt;365),"")))))</calculatedColumnFormula>
    </tableColumn>
    <tableColumn id="27" xr3:uid="{A9F1E656-BF6D-4E69-9470-F582454C24D0}" name="2010" dataDxfId="77">
      <calculatedColumnFormula>IF(AND(INT(DATE(Veri2!P$1,MONTH($L5),DAY($L5))-DATE(YEAR($M5),MONTH($M5),DAY($M5)))/365.25&gt;=50,
IF(OR($I5="",$L5="",Veri2!P$1&lt;=YEAR($L5),Veri2!P$1&gt;YEAR(TODAY())),"",IF(AND(Veri2!P$1-YEAR($L5)&gt;=1,YEAR(TODAY())&lt;&gt;Veri2!P$1),
LOOKUP(VALUE("31"&amp;"."&amp;"12"&amp;"."&amp;Veri2!P$1)-$L5,{365,2190,5476},{14,20,26}),
IF(AND(YEAR(TODAY())=Veri2!P$1,TODAY()-VALUE(DAY($L5)&amp;"."&amp;MONTH($L5)&amp;"."&amp;YEAR(TODAY())-1)&gt;=365),
LOOKUP(VALUE(DAY(TODAY())&amp;"."&amp;MONTH(TODAY())&amp;"."&amp;Veri2!P$1)-$L5,{0,365,2190,5476},{0,14,20,26}),
IF(AND(YEAR(TODAY())=Veri2!P$1,TODAY()-VALUE(DAY($L5)&amp;"."&amp;MONTH($L5)&amp;"."&amp;YEAR(TODAY())-1)&lt;365),""))))=14),
IF(OR($I5="",$L5="",Veri2!P$1&lt;=YEAR($L5),Veri2!P$1&gt;YEAR(TODAY())),"",IF(AND(Veri2!P$1-YEAR($L5)&gt;=1,YEAR(TODAY())&lt;&gt;Veri2!P$1),
LOOKUP(VALUE("31"&amp;"."&amp;"12"&amp;"."&amp;Veri2!P$1)-$L5,{365,2190,5476},{20,20,26}),
IF(AND(YEAR(TODAY())=Veri2!P$1,TODAY()-VALUE(DAY($L5)&amp;"."&amp;MONTH($L5)&amp;"."&amp;YEAR(TODAY())-1)&gt;=365),
LOOKUP(VALUE(DAY(TODAY())&amp;"."&amp;MONTH(TODAY())&amp;"."&amp;Veri2!P$1)-$L5,{0,365,2190,5476},{0,20,20,26}),
IF(AND(YEAR(TODAY())=Veri2!P$1,TODAY()-VALUE(DAY($L5)&amp;"."&amp;MONTH($L5)&amp;"."&amp;YEAR(TODAY())-1)&lt;365),"")))),
IF(OR($I5="",$L5="",Veri2!P$1&lt;=YEAR($L5),Veri2!P$1&gt;YEAR(TODAY())),"",IF(AND(Veri2!P$1-YEAR($L5)&gt;=1,YEAR(TODAY())&lt;&gt;Veri2!P$1),
LOOKUP(VALUE("31"&amp;"."&amp;"12"&amp;"."&amp;Veri2!P$1)-$L5,{365,2190,5476},{14,20,26}),
IF(AND(YEAR(TODAY())=Veri2!P$1,TODAY()-VALUE(DAY($L5)&amp;"."&amp;MONTH($L5)&amp;"."&amp;YEAR(TODAY())-1)&gt;=365),
LOOKUP(VALUE(DAY(TODAY())&amp;"."&amp;MONTH(TODAY())&amp;"."&amp;Veri2!P$1)-$L5,{0,365,2190,5476},{0,14,20,26}),
IF(AND(YEAR(TODAY())=Veri2!P$1,TODAY()-VALUE(DAY($L5)&amp;"."&amp;MONTH($L5)&amp;"."&amp;YEAR(TODAY())-1)&lt;365),"")))))</calculatedColumnFormula>
    </tableColumn>
    <tableColumn id="28" xr3:uid="{7F25CF28-174A-40D3-91FE-336A25B9F349}" name="2011" dataDxfId="76">
      <calculatedColumnFormula>IF(AND(INT(DATE(Veri2!Q$1,MONTH($L5),DAY($L5))-DATE(YEAR($M5),MONTH($M5),DAY($M5)))/365.25&gt;=50,
IF(OR($I5="",$L5="",Veri2!Q$1&lt;=YEAR($L5),Veri2!Q$1&gt;YEAR(TODAY())),"",IF(AND(Veri2!Q$1-YEAR($L5)&gt;=1,YEAR(TODAY())&lt;&gt;Veri2!Q$1),
LOOKUP(VALUE("31"&amp;"."&amp;"12"&amp;"."&amp;Veri2!Q$1)-$L5,{365,2190,5476},{14,20,26}),
IF(AND(YEAR(TODAY())=Veri2!Q$1,TODAY()-VALUE(DAY($L5)&amp;"."&amp;MONTH($L5)&amp;"."&amp;YEAR(TODAY())-1)&gt;=365),
LOOKUP(VALUE(DAY(TODAY())&amp;"."&amp;MONTH(TODAY())&amp;"."&amp;Veri2!Q$1)-$L5,{0,365,2190,5476},{0,14,20,26}),
IF(AND(YEAR(TODAY())=Veri2!Q$1,TODAY()-VALUE(DAY($L5)&amp;"."&amp;MONTH($L5)&amp;"."&amp;YEAR(TODAY())-1)&lt;365),""))))=14),
IF(OR($I5="",$L5="",Veri2!Q$1&lt;=YEAR($L5),Veri2!Q$1&gt;YEAR(TODAY())),"",IF(AND(Veri2!Q$1-YEAR($L5)&gt;=1,YEAR(TODAY())&lt;&gt;Veri2!Q$1),
LOOKUP(VALUE("31"&amp;"."&amp;"12"&amp;"."&amp;Veri2!Q$1)-$L5,{365,2190,5476},{20,20,26}),
IF(AND(YEAR(TODAY())=Veri2!Q$1,TODAY()-VALUE(DAY($L5)&amp;"."&amp;MONTH($L5)&amp;"."&amp;YEAR(TODAY())-1)&gt;=365),
LOOKUP(VALUE(DAY(TODAY())&amp;"."&amp;MONTH(TODAY())&amp;"."&amp;Veri2!Q$1)-$L5,{0,365,2190,5476},{0,20,20,26}),
IF(AND(YEAR(TODAY())=Veri2!Q$1,TODAY()-VALUE(DAY($L5)&amp;"."&amp;MONTH($L5)&amp;"."&amp;YEAR(TODAY())-1)&lt;365),"")))),
IF(OR($I5="",$L5="",Veri2!Q$1&lt;=YEAR($L5),Veri2!Q$1&gt;YEAR(TODAY())),"",IF(AND(Veri2!Q$1-YEAR($L5)&gt;=1,YEAR(TODAY())&lt;&gt;Veri2!Q$1),
LOOKUP(VALUE("31"&amp;"."&amp;"12"&amp;"."&amp;Veri2!Q$1)-$L5,{365,2190,5476},{14,20,26}),
IF(AND(YEAR(TODAY())=Veri2!Q$1,TODAY()-VALUE(DAY($L5)&amp;"."&amp;MONTH($L5)&amp;"."&amp;YEAR(TODAY())-1)&gt;=365),
LOOKUP(VALUE(DAY(TODAY())&amp;"."&amp;MONTH(TODAY())&amp;"."&amp;Veri2!Q$1)-$L5,{0,365,2190,5476},{0,14,20,26}),
IF(AND(YEAR(TODAY())=Veri2!Q$1,TODAY()-VALUE(DAY($L5)&amp;"."&amp;MONTH($L5)&amp;"."&amp;YEAR(TODAY())-1)&lt;365),"")))))</calculatedColumnFormula>
    </tableColumn>
    <tableColumn id="29" xr3:uid="{CAFDD94E-0CF1-4554-A8D0-5B246854B76A}" name="2012" dataDxfId="75">
      <calculatedColumnFormula>IF(AND(INT(DATE(Veri2!R$1,MONTH($L5),DAY($L5))-DATE(YEAR($M5),MONTH($M5),DAY($M5)))/365.25&gt;=50,
IF(OR($I5="",$L5="",Veri2!R$1&lt;=YEAR($L5),Veri2!R$1&gt;YEAR(TODAY())),"",IF(AND(Veri2!R$1-YEAR($L5)&gt;=1,YEAR(TODAY())&lt;&gt;Veri2!R$1),
LOOKUP(VALUE("31"&amp;"."&amp;"12"&amp;"."&amp;Veri2!R$1)-$L5,{365,2190,5476},{14,20,26}),
IF(AND(YEAR(TODAY())=Veri2!R$1,TODAY()-VALUE(DAY($L5)&amp;"."&amp;MONTH($L5)&amp;"."&amp;YEAR(TODAY())-1)&gt;=365),
LOOKUP(VALUE(DAY(TODAY())&amp;"."&amp;MONTH(TODAY())&amp;"."&amp;Veri2!R$1)-$L5,{0,365,2190,5476},{0,14,20,26}),
IF(AND(YEAR(TODAY())=Veri2!R$1,TODAY()-VALUE(DAY($L5)&amp;"."&amp;MONTH($L5)&amp;"."&amp;YEAR(TODAY())-1)&lt;365),""))))=14),
IF(OR($I5="",$L5="",Veri2!R$1&lt;=YEAR($L5),Veri2!R$1&gt;YEAR(TODAY())),"",IF(AND(Veri2!R$1-YEAR($L5)&gt;=1,YEAR(TODAY())&lt;&gt;Veri2!R$1),
LOOKUP(VALUE("31"&amp;"."&amp;"12"&amp;"."&amp;Veri2!R$1)-$L5,{365,2190,5476},{20,20,26}),
IF(AND(YEAR(TODAY())=Veri2!R$1,TODAY()-VALUE(DAY($L5)&amp;"."&amp;MONTH($L5)&amp;"."&amp;YEAR(TODAY())-1)&gt;=365),
LOOKUP(VALUE(DAY(TODAY())&amp;"."&amp;MONTH(TODAY())&amp;"."&amp;Veri2!R$1)-$L5,{0,365,2190,5476},{0,20,20,26}),
IF(AND(YEAR(TODAY())=Veri2!R$1,TODAY()-VALUE(DAY($L5)&amp;"."&amp;MONTH($L5)&amp;"."&amp;YEAR(TODAY())-1)&lt;365),"")))),
IF(OR($I5="",$L5="",Veri2!R$1&lt;=YEAR($L5),Veri2!R$1&gt;YEAR(TODAY())),"",IF(AND(Veri2!R$1-YEAR($L5)&gt;=1,YEAR(TODAY())&lt;&gt;Veri2!R$1),
LOOKUP(VALUE("31"&amp;"."&amp;"12"&amp;"."&amp;Veri2!R$1)-$L5,{365,2190,5476},{14,20,26}),
IF(AND(YEAR(TODAY())=Veri2!R$1,TODAY()-VALUE(DAY($L5)&amp;"."&amp;MONTH($L5)&amp;"."&amp;YEAR(TODAY())-1)&gt;=365),
LOOKUP(VALUE(DAY(TODAY())&amp;"."&amp;MONTH(TODAY())&amp;"."&amp;Veri2!R$1)-$L5,{0,365,2190,5476},{0,14,20,26}),
IF(AND(YEAR(TODAY())=Veri2!R$1,TODAY()-VALUE(DAY($L5)&amp;"."&amp;MONTH($L5)&amp;"."&amp;YEAR(TODAY())-1)&lt;365),"")))))</calculatedColumnFormula>
    </tableColumn>
    <tableColumn id="30" xr3:uid="{6F3473DF-B71C-4DE0-B5AF-FB9C43764E50}" name="2013" dataDxfId="74">
      <calculatedColumnFormula>IF(AND(INT(DATE(Veri2!S$1,MONTH($L5),DAY($L5))-DATE(YEAR($M5),MONTH($M5),DAY($M5)))/365.25&gt;=50,
IF(OR($I5="",$L5="",Veri2!S$1&lt;=YEAR($L5),Veri2!S$1&gt;YEAR(TODAY())),"",IF(AND(Veri2!S$1-YEAR($L5)&gt;=1,YEAR(TODAY())&lt;&gt;Veri2!S$1),
LOOKUP(VALUE("31"&amp;"."&amp;"12"&amp;"."&amp;Veri2!S$1)-$L5,{365,2190,5476},{14,20,26}),
IF(AND(YEAR(TODAY())=Veri2!S$1,TODAY()-VALUE(DAY($L5)&amp;"."&amp;MONTH($L5)&amp;"."&amp;YEAR(TODAY())-1)&gt;=365),
LOOKUP(VALUE(DAY(TODAY())&amp;"."&amp;MONTH(TODAY())&amp;"."&amp;Veri2!S$1)-$L5,{0,365,2190,5476},{0,14,20,26}),
IF(AND(YEAR(TODAY())=Veri2!S$1,TODAY()-VALUE(DAY($L5)&amp;"."&amp;MONTH($L5)&amp;"."&amp;YEAR(TODAY())-1)&lt;365),""))))=14),
IF(OR($I5="",$L5="",Veri2!S$1&lt;=YEAR($L5),Veri2!S$1&gt;YEAR(TODAY())),"",IF(AND(Veri2!S$1-YEAR($L5)&gt;=1,YEAR(TODAY())&lt;&gt;Veri2!S$1),
LOOKUP(VALUE("31"&amp;"."&amp;"12"&amp;"."&amp;Veri2!S$1)-$L5,{365,2190,5476},{20,20,26}),
IF(AND(YEAR(TODAY())=Veri2!S$1,TODAY()-VALUE(DAY($L5)&amp;"."&amp;MONTH($L5)&amp;"."&amp;YEAR(TODAY())-1)&gt;=365),
LOOKUP(VALUE(DAY(TODAY())&amp;"."&amp;MONTH(TODAY())&amp;"."&amp;Veri2!S$1)-$L5,{0,365,2190,5476},{0,20,20,26}),
IF(AND(YEAR(TODAY())=Veri2!S$1,TODAY()-VALUE(DAY($L5)&amp;"."&amp;MONTH($L5)&amp;"."&amp;YEAR(TODAY())-1)&lt;365),"")))),
IF(OR($I5="",$L5="",Veri2!S$1&lt;=YEAR($L5),Veri2!S$1&gt;YEAR(TODAY())),"",IF(AND(Veri2!S$1-YEAR($L5)&gt;=1,YEAR(TODAY())&lt;&gt;Veri2!S$1),
LOOKUP(VALUE("31"&amp;"."&amp;"12"&amp;"."&amp;Veri2!S$1)-$L5,{365,2190,5476},{14,20,26}),
IF(AND(YEAR(TODAY())=Veri2!S$1,TODAY()-VALUE(DAY($L5)&amp;"."&amp;MONTH($L5)&amp;"."&amp;YEAR(TODAY())-1)&gt;=365),
LOOKUP(VALUE(DAY(TODAY())&amp;"."&amp;MONTH(TODAY())&amp;"."&amp;Veri2!S$1)-$L5,{0,365,2190,5476},{0,14,20,26}),
IF(AND(YEAR(TODAY())=Veri2!S$1,TODAY()-VALUE(DAY($L5)&amp;"."&amp;MONTH($L5)&amp;"."&amp;YEAR(TODAY())-1)&lt;365),"")))))</calculatedColumnFormula>
    </tableColumn>
    <tableColumn id="31" xr3:uid="{AE28AEE7-BEA5-4DEF-8353-C8C48DF71FEA}" name="2014" dataDxfId="73">
      <calculatedColumnFormula>IF(AND(INT(DATE(Veri2!T$1,MONTH($L5),DAY($L5))-DATE(YEAR($M5),MONTH($M5),DAY($M5)))/365.25&gt;=50,
IF(OR($I5="",$L5="",Veri2!T$1&lt;=YEAR($L5),Veri2!T$1&gt;YEAR(TODAY())),"",IF(AND(Veri2!T$1-YEAR($L5)&gt;=1,YEAR(TODAY())&lt;&gt;Veri2!T$1),
LOOKUP(VALUE("31"&amp;"."&amp;"12"&amp;"."&amp;Veri2!T$1)-$L5,{365,2190,5476},{14,20,26}),
IF(AND(YEAR(TODAY())=Veri2!T$1,TODAY()-VALUE(DAY($L5)&amp;"."&amp;MONTH($L5)&amp;"."&amp;YEAR(TODAY())-1)&gt;=365),
LOOKUP(VALUE(DAY(TODAY())&amp;"."&amp;MONTH(TODAY())&amp;"."&amp;Veri2!T$1)-$L5,{0,365,2190,5476},{0,14,20,26}),
IF(AND(YEAR(TODAY())=Veri2!T$1,TODAY()-VALUE(DAY($L5)&amp;"."&amp;MONTH($L5)&amp;"."&amp;YEAR(TODAY())-1)&lt;365),""))))=14),
IF(OR($I5="",$L5="",Veri2!T$1&lt;=YEAR($L5),Veri2!T$1&gt;YEAR(TODAY())),"",IF(AND(Veri2!T$1-YEAR($L5)&gt;=1,YEAR(TODAY())&lt;&gt;Veri2!T$1),
LOOKUP(VALUE("31"&amp;"."&amp;"12"&amp;"."&amp;Veri2!T$1)-$L5,{365,2190,5476},{20,20,26}),
IF(AND(YEAR(TODAY())=Veri2!T$1,TODAY()-VALUE(DAY($L5)&amp;"."&amp;MONTH($L5)&amp;"."&amp;YEAR(TODAY())-1)&gt;=365),
LOOKUP(VALUE(DAY(TODAY())&amp;"."&amp;MONTH(TODAY())&amp;"."&amp;Veri2!T$1)-$L5,{0,365,2190,5476},{0,20,20,26}),
IF(AND(YEAR(TODAY())=Veri2!T$1,TODAY()-VALUE(DAY($L5)&amp;"."&amp;MONTH($L5)&amp;"."&amp;YEAR(TODAY())-1)&lt;365),"")))),
IF(OR($I5="",$L5="",Veri2!T$1&lt;=YEAR($L5),Veri2!T$1&gt;YEAR(TODAY())),"",IF(AND(Veri2!T$1-YEAR($L5)&gt;=1,YEAR(TODAY())&lt;&gt;Veri2!T$1),
LOOKUP(VALUE("31"&amp;"."&amp;"12"&amp;"."&amp;Veri2!T$1)-$L5,{365,2190,5476},{14,20,26}),
IF(AND(YEAR(TODAY())=Veri2!T$1,TODAY()-VALUE(DAY($L5)&amp;"."&amp;MONTH($L5)&amp;"."&amp;YEAR(TODAY())-1)&gt;=365),
LOOKUP(VALUE(DAY(TODAY())&amp;"."&amp;MONTH(TODAY())&amp;"."&amp;Veri2!T$1)-$L5,{0,365,2190,5476},{0,14,20,26}),
IF(AND(YEAR(TODAY())=Veri2!T$1,TODAY()-VALUE(DAY($L5)&amp;"."&amp;MONTH($L5)&amp;"."&amp;YEAR(TODAY())-1)&lt;365),"")))))</calculatedColumnFormula>
    </tableColumn>
    <tableColumn id="32" xr3:uid="{D7A8FA3B-6375-4F1C-8397-AFE6313CC252}" name="2015" dataDxfId="72">
      <calculatedColumnFormula>IF(AND(INT(DATE(Veri2!U$1,MONTH($L5),DAY($L5))-DATE(YEAR($M5),MONTH($M5),DAY($M5)))/365.25&gt;=50,
IF(OR($I5="",$L5="",Veri2!U$1&lt;=YEAR($L5),Veri2!U$1&gt;YEAR(TODAY())),"",IF(AND(Veri2!U$1-YEAR($L5)&gt;=1,YEAR(TODAY())&lt;&gt;Veri2!U$1),
LOOKUP(VALUE("31"&amp;"."&amp;"12"&amp;"."&amp;Veri2!U$1)-$L5,{365,2190,5476},{14,20,26}),
IF(AND(YEAR(TODAY())=Veri2!U$1,TODAY()-VALUE(DAY($L5)&amp;"."&amp;MONTH($L5)&amp;"."&amp;YEAR(TODAY())-1)&gt;=365),
LOOKUP(VALUE(DAY(TODAY())&amp;"."&amp;MONTH(TODAY())&amp;"."&amp;Veri2!U$1)-$L5,{0,365,2190,5476},{0,14,20,26}),
IF(AND(YEAR(TODAY())=Veri2!U$1,TODAY()-VALUE(DAY($L5)&amp;"."&amp;MONTH($L5)&amp;"."&amp;YEAR(TODAY())-1)&lt;365),""))))=14),
IF(OR($I5="",$L5="",Veri2!U$1&lt;=YEAR($L5),Veri2!U$1&gt;YEAR(TODAY())),"",IF(AND(Veri2!U$1-YEAR($L5)&gt;=1,YEAR(TODAY())&lt;&gt;Veri2!U$1),
LOOKUP(VALUE("31"&amp;"."&amp;"12"&amp;"."&amp;Veri2!U$1)-$L5,{365,2190,5476},{20,20,26}),
IF(AND(YEAR(TODAY())=Veri2!U$1,TODAY()-VALUE(DAY($L5)&amp;"."&amp;MONTH($L5)&amp;"."&amp;YEAR(TODAY())-1)&gt;=365),
LOOKUP(VALUE(DAY(TODAY())&amp;"."&amp;MONTH(TODAY())&amp;"."&amp;Veri2!U$1)-$L5,{0,365,2190,5476},{0,20,20,26}),
IF(AND(YEAR(TODAY())=Veri2!U$1,TODAY()-VALUE(DAY($L5)&amp;"."&amp;MONTH($L5)&amp;"."&amp;YEAR(TODAY())-1)&lt;365),"")))),
IF(OR($I5="",$L5="",Veri2!U$1&lt;=YEAR($L5),Veri2!U$1&gt;YEAR(TODAY())),"",IF(AND(Veri2!U$1-YEAR($L5)&gt;=1,YEAR(TODAY())&lt;&gt;Veri2!U$1),
LOOKUP(VALUE("31"&amp;"."&amp;"12"&amp;"."&amp;Veri2!U$1)-$L5,{365,2190,5476},{14,20,26}),
IF(AND(YEAR(TODAY())=Veri2!U$1,TODAY()-VALUE(DAY($L5)&amp;"."&amp;MONTH($L5)&amp;"."&amp;YEAR(TODAY())-1)&gt;=365),
LOOKUP(VALUE(DAY(TODAY())&amp;"."&amp;MONTH(TODAY())&amp;"."&amp;Veri2!U$1)-$L5,{0,365,2190,5476},{0,14,20,26}),
IF(AND(YEAR(TODAY())=Veri2!U$1,TODAY()-VALUE(DAY($L5)&amp;"."&amp;MONTH($L5)&amp;"."&amp;YEAR(TODAY())-1)&lt;365),"")))))</calculatedColumnFormula>
    </tableColumn>
    <tableColumn id="33" xr3:uid="{CBF2EA8C-E6F3-4ED0-91F9-51537C1D440B}" name="2016" dataDxfId="71">
      <calculatedColumnFormula>IF(AND(INT(DATE(Veri2!V$1,MONTH($L5),DAY($L5))-DATE(YEAR($M5),MONTH($M5),DAY($M5)))/365.25&gt;=50,
IF(OR($I5="",$L5="",Veri2!V$1&lt;=YEAR($L5),Veri2!V$1&gt;YEAR(TODAY())),"",IF(AND(Veri2!V$1-YEAR($L5)&gt;=1,YEAR(TODAY())&lt;&gt;Veri2!V$1),
LOOKUP(VALUE("31"&amp;"."&amp;"12"&amp;"."&amp;Veri2!V$1)-$L5,{365,2190,5476},{14,20,26}),
IF(AND(YEAR(TODAY())=Veri2!V$1,TODAY()-VALUE(DAY($L5)&amp;"."&amp;MONTH($L5)&amp;"."&amp;YEAR(TODAY())-1)&gt;=365),
LOOKUP(VALUE(DAY(TODAY())&amp;"."&amp;MONTH(TODAY())&amp;"."&amp;Veri2!V$1)-$L5,{0,365,2190,5476},{0,14,20,26}),
IF(AND(YEAR(TODAY())=Veri2!V$1,TODAY()-VALUE(DAY($L5)&amp;"."&amp;MONTH($L5)&amp;"."&amp;YEAR(TODAY())-1)&lt;365),""))))=14),
IF(OR($I5="",$L5="",Veri2!V$1&lt;=YEAR($L5),Veri2!V$1&gt;YEAR(TODAY())),"",IF(AND(Veri2!V$1-YEAR($L5)&gt;=1,YEAR(TODAY())&lt;&gt;Veri2!V$1),
LOOKUP(VALUE("31"&amp;"."&amp;"12"&amp;"."&amp;Veri2!V$1)-$L5,{365,2190,5476},{20,20,26}),
IF(AND(YEAR(TODAY())=Veri2!V$1,TODAY()-VALUE(DAY($L5)&amp;"."&amp;MONTH($L5)&amp;"."&amp;YEAR(TODAY())-1)&gt;=365),
LOOKUP(VALUE(DAY(TODAY())&amp;"."&amp;MONTH(TODAY())&amp;"."&amp;Veri2!V$1)-$L5,{0,365,2190,5476},{0,20,20,26}),
IF(AND(YEAR(TODAY())=Veri2!V$1,TODAY()-VALUE(DAY($L5)&amp;"."&amp;MONTH($L5)&amp;"."&amp;YEAR(TODAY())-1)&lt;365),"")))),
IF(OR($I5="",$L5="",Veri2!V$1&lt;=YEAR($L5),Veri2!V$1&gt;YEAR(TODAY())),"",IF(AND(Veri2!V$1-YEAR($L5)&gt;=1,YEAR(TODAY())&lt;&gt;Veri2!V$1),
LOOKUP(VALUE("31"&amp;"."&amp;"12"&amp;"."&amp;Veri2!V$1)-$L5,{365,2190,5476},{14,20,26}),
IF(AND(YEAR(TODAY())=Veri2!V$1,TODAY()-VALUE(DAY($L5)&amp;"."&amp;MONTH($L5)&amp;"."&amp;YEAR(TODAY())-1)&gt;=365),
LOOKUP(VALUE(DAY(TODAY())&amp;"."&amp;MONTH(TODAY())&amp;"."&amp;Veri2!V$1)-$L5,{0,365,2190,5476},{0,14,20,26}),
IF(AND(YEAR(TODAY())=Veri2!V$1,TODAY()-VALUE(DAY($L5)&amp;"."&amp;MONTH($L5)&amp;"."&amp;YEAR(TODAY())-1)&lt;365),"")))))</calculatedColumnFormula>
    </tableColumn>
    <tableColumn id="34" xr3:uid="{A81D81B6-8648-455A-87CA-F7AC49BC5CF2}" name="2017" dataDxfId="70">
      <calculatedColumnFormula>IF(AND(INT(DATE(Veri2!W$1,MONTH($L5),DAY($L5))-DATE(YEAR($M5),MONTH($M5),DAY($M5)))/365.25&gt;=50,
IF(OR($I5="",$L5="",Veri2!W$1&lt;=YEAR($L5),Veri2!W$1&gt;YEAR(TODAY())),"",IF(AND(Veri2!W$1-YEAR($L5)&gt;=1,YEAR(TODAY())&lt;&gt;Veri2!W$1),
LOOKUP(VALUE("31"&amp;"."&amp;"12"&amp;"."&amp;Veri2!W$1)-$L5,{365,2190,5476},{14,20,26}),
IF(AND(YEAR(TODAY())=Veri2!W$1,TODAY()-VALUE(DAY($L5)&amp;"."&amp;MONTH($L5)&amp;"."&amp;YEAR(TODAY())-1)&gt;=365),
LOOKUP(VALUE(DAY(TODAY())&amp;"."&amp;MONTH(TODAY())&amp;"."&amp;Veri2!W$1)-$L5,{0,365,2190,5476},{0,14,20,26}),
IF(AND(YEAR(TODAY())=Veri2!W$1,TODAY()-VALUE(DAY($L5)&amp;"."&amp;MONTH($L5)&amp;"."&amp;YEAR(TODAY())-1)&lt;365),""))))=14),
IF(OR($I5="",$L5="",Veri2!W$1&lt;=YEAR($L5),Veri2!W$1&gt;YEAR(TODAY())),"",IF(AND(Veri2!W$1-YEAR($L5)&gt;=1,YEAR(TODAY())&lt;&gt;Veri2!W$1),
LOOKUP(VALUE("31"&amp;"."&amp;"12"&amp;"."&amp;Veri2!W$1)-$L5,{365,2190,5476},{20,20,26}),
IF(AND(YEAR(TODAY())=Veri2!W$1,TODAY()-VALUE(DAY($L5)&amp;"."&amp;MONTH($L5)&amp;"."&amp;YEAR(TODAY())-1)&gt;=365),
LOOKUP(VALUE(DAY(TODAY())&amp;"."&amp;MONTH(TODAY())&amp;"."&amp;Veri2!W$1)-$L5,{0,365,2190,5476},{0,20,20,26}),
IF(AND(YEAR(TODAY())=Veri2!W$1,TODAY()-VALUE(DAY($L5)&amp;"."&amp;MONTH($L5)&amp;"."&amp;YEAR(TODAY())-1)&lt;365),"")))),
IF(OR($I5="",$L5="",Veri2!W$1&lt;=YEAR($L5),Veri2!W$1&gt;YEAR(TODAY())),"",IF(AND(Veri2!W$1-YEAR($L5)&gt;=1,YEAR(TODAY())&lt;&gt;Veri2!W$1),
LOOKUP(VALUE("31"&amp;"."&amp;"12"&amp;"."&amp;Veri2!W$1)-$L5,{365,2190,5476},{14,20,26}),
IF(AND(YEAR(TODAY())=Veri2!W$1,TODAY()-VALUE(DAY($L5)&amp;"."&amp;MONTH($L5)&amp;"."&amp;YEAR(TODAY())-1)&gt;=365),
LOOKUP(VALUE(DAY(TODAY())&amp;"."&amp;MONTH(TODAY())&amp;"."&amp;Veri2!W$1)-$L5,{0,365,2190,5476},{0,14,20,26}),
IF(AND(YEAR(TODAY())=Veri2!W$1,TODAY()-VALUE(DAY($L5)&amp;"."&amp;MONTH($L5)&amp;"."&amp;YEAR(TODAY())-1)&lt;365),"")))))</calculatedColumnFormula>
    </tableColumn>
    <tableColumn id="35" xr3:uid="{AFD582F6-E080-4CE0-8E89-B7F4EE1D33A8}" name="2018" dataDxfId="69">
      <calculatedColumnFormula>IF(AND(INT(DATE(Veri2!X$1,MONTH($L5),DAY($L5))-DATE(YEAR($M5),MONTH($M5),DAY($M5)))/365.25&gt;=50,
IF(OR($I5="",$L5="",Veri2!X$1&lt;=YEAR($L5),Veri2!X$1&gt;YEAR(TODAY())),"",IF(AND(Veri2!X$1-YEAR($L5)&gt;=1,YEAR(TODAY())&lt;&gt;Veri2!X$1),
LOOKUP(VALUE("31"&amp;"."&amp;"12"&amp;"."&amp;Veri2!X$1)-$L5,{365,2190,5476},{14,20,26}),
IF(AND(YEAR(TODAY())=Veri2!X$1,TODAY()-VALUE(DAY($L5)&amp;"."&amp;MONTH($L5)&amp;"."&amp;YEAR(TODAY())-1)&gt;=365),
LOOKUP(VALUE(DAY(TODAY())&amp;"."&amp;MONTH(TODAY())&amp;"."&amp;Veri2!X$1)-$L5,{0,365,2190,5476},{0,14,20,26}),
IF(AND(YEAR(TODAY())=Veri2!X$1,TODAY()-VALUE(DAY($L5)&amp;"."&amp;MONTH($L5)&amp;"."&amp;YEAR(TODAY())-1)&lt;365),""))))=14),
IF(OR($I5="",$L5="",Veri2!X$1&lt;=YEAR($L5),Veri2!X$1&gt;YEAR(TODAY())),"",IF(AND(Veri2!X$1-YEAR($L5)&gt;=1,YEAR(TODAY())&lt;&gt;Veri2!X$1),
LOOKUP(VALUE("31"&amp;"."&amp;"12"&amp;"."&amp;Veri2!X$1)-$L5,{365,2190,5476},{20,20,26}),
IF(AND(YEAR(TODAY())=Veri2!X$1,TODAY()-VALUE(DAY($L5)&amp;"."&amp;MONTH($L5)&amp;"."&amp;YEAR(TODAY())-1)&gt;=365),
LOOKUP(VALUE(DAY(TODAY())&amp;"."&amp;MONTH(TODAY())&amp;"."&amp;Veri2!X$1)-$L5,{0,365,2190,5476},{0,20,20,26}),
IF(AND(YEAR(TODAY())=Veri2!X$1,TODAY()-VALUE(DAY($L5)&amp;"."&amp;MONTH($L5)&amp;"."&amp;YEAR(TODAY())-1)&lt;365),"")))),
IF(OR($I5="",$L5="",Veri2!X$1&lt;=YEAR($L5),Veri2!X$1&gt;YEAR(TODAY())),"",IF(AND(Veri2!X$1-YEAR($L5)&gt;=1,YEAR(TODAY())&lt;&gt;Veri2!X$1),
LOOKUP(VALUE("31"&amp;"."&amp;"12"&amp;"."&amp;Veri2!X$1)-$L5,{365,2190,5476},{14,20,26}),
IF(AND(YEAR(TODAY())=Veri2!X$1,TODAY()-VALUE(DAY($L5)&amp;"."&amp;MONTH($L5)&amp;"."&amp;YEAR(TODAY())-1)&gt;=365),
LOOKUP(VALUE(DAY(TODAY())&amp;"."&amp;MONTH(TODAY())&amp;"."&amp;Veri2!X$1)-$L5,{0,365,2190,5476},{0,14,20,26}),
IF(AND(YEAR(TODAY())=Veri2!X$1,TODAY()-VALUE(DAY($L5)&amp;"."&amp;MONTH($L5)&amp;"."&amp;YEAR(TODAY())-1)&lt;365),"")))))</calculatedColumnFormula>
    </tableColumn>
    <tableColumn id="36" xr3:uid="{7ADAE781-6280-4544-9553-C305967A9671}" name="2019" dataDxfId="68">
      <calculatedColumnFormula>IF(AND(INT(DATE(Veri2!Y$1,MONTH($L5),DAY($L5))-DATE(YEAR($M5),MONTH($M5),DAY($M5)))/365.25&gt;=50,
IF(OR($I5="",$L5="",Veri2!Y$1&lt;=YEAR($L5),Veri2!Y$1&gt;YEAR(TODAY())),"",IF(AND(Veri2!Y$1-YEAR($L5)&gt;=1,YEAR(TODAY())&lt;&gt;Veri2!Y$1),
LOOKUP(VALUE("31"&amp;"."&amp;"12"&amp;"."&amp;Veri2!Y$1)-$L5,{365,2190,5476},{14,20,26}),
IF(AND(YEAR(TODAY())=Veri2!Y$1,TODAY()-VALUE(DAY($L5)&amp;"."&amp;MONTH($L5)&amp;"."&amp;YEAR(TODAY())-1)&gt;=365),
LOOKUP(VALUE(DAY(TODAY())&amp;"."&amp;MONTH(TODAY())&amp;"."&amp;Veri2!Y$1)-$L5,{0,365,2190,5476},{0,14,20,26}),
IF(AND(YEAR(TODAY())=Veri2!Y$1,TODAY()-VALUE(DAY($L5)&amp;"."&amp;MONTH($L5)&amp;"."&amp;YEAR(TODAY())-1)&lt;365),""))))=14),
IF(OR($I5="",$L5="",Veri2!Y$1&lt;=YEAR($L5),Veri2!Y$1&gt;YEAR(TODAY())),"",IF(AND(Veri2!Y$1-YEAR($L5)&gt;=1,YEAR(TODAY())&lt;&gt;Veri2!Y$1),
LOOKUP(VALUE("31"&amp;"."&amp;"12"&amp;"."&amp;Veri2!Y$1)-$L5,{365,2190,5476},{20,20,26}),
IF(AND(YEAR(TODAY())=Veri2!Y$1,TODAY()-VALUE(DAY($L5)&amp;"."&amp;MONTH($L5)&amp;"."&amp;YEAR(TODAY())-1)&gt;=365),
LOOKUP(VALUE(DAY(TODAY())&amp;"."&amp;MONTH(TODAY())&amp;"."&amp;Veri2!Y$1)-$L5,{0,365,2190,5476},{0,20,20,26}),
IF(AND(YEAR(TODAY())=Veri2!Y$1,TODAY()-VALUE(DAY($L5)&amp;"."&amp;MONTH($L5)&amp;"."&amp;YEAR(TODAY())-1)&lt;365),"")))),
IF(OR($I5="",$L5="",Veri2!Y$1&lt;=YEAR($L5),Veri2!Y$1&gt;YEAR(TODAY())),"",IF(AND(Veri2!Y$1-YEAR($L5)&gt;=1,YEAR(TODAY())&lt;&gt;Veri2!Y$1),
LOOKUP(VALUE("31"&amp;"."&amp;"12"&amp;"."&amp;Veri2!Y$1)-$L5,{365,2190,5476},{14,20,26}),
IF(AND(YEAR(TODAY())=Veri2!Y$1,TODAY()-VALUE(DAY($L5)&amp;"."&amp;MONTH($L5)&amp;"."&amp;YEAR(TODAY())-1)&gt;=365),
LOOKUP(VALUE(DAY(TODAY())&amp;"."&amp;MONTH(TODAY())&amp;"."&amp;Veri2!Y$1)-$L5,{0,365,2190,5476},{0,14,20,26}),
IF(AND(YEAR(TODAY())=Veri2!Y$1,TODAY()-VALUE(DAY($L5)&amp;"."&amp;MONTH($L5)&amp;"."&amp;YEAR(TODAY())-1)&lt;365),"")))))</calculatedColumnFormula>
    </tableColumn>
    <tableColumn id="37" xr3:uid="{5FDFD2D4-7F96-4223-8669-6C6725F4AED8}" name="2020" dataDxfId="67">
      <calculatedColumnFormula>IF(AND(INT(DATE(Veri2!Z$1,MONTH($L5),DAY($L5))-DATE(YEAR($M5),MONTH($M5),DAY($M5)))/365.25&gt;=50,
IF(OR($I5="",$L5="",Veri2!Z$1&lt;=YEAR($L5),Veri2!Z$1&gt;YEAR(TODAY())),"",IF(AND(Veri2!Z$1-YEAR($L5)&gt;=1,YEAR(TODAY())&lt;&gt;Veri2!Z$1),
LOOKUP(VALUE("31"&amp;"."&amp;"12"&amp;"."&amp;Veri2!Z$1)-$L5,{365,2190,5476},{14,20,26}),
IF(AND(YEAR(TODAY())=Veri2!Z$1,TODAY()-VALUE(DAY($L5)&amp;"."&amp;MONTH($L5)&amp;"."&amp;YEAR(TODAY())-1)&gt;=365),
LOOKUP(VALUE(DAY(TODAY())&amp;"."&amp;MONTH(TODAY())&amp;"."&amp;Veri2!Z$1)-$L5,{0,365,2190,5476},{0,14,20,26}),
IF(AND(YEAR(TODAY())=Veri2!Z$1,TODAY()-VALUE(DAY($L5)&amp;"."&amp;MONTH($L5)&amp;"."&amp;YEAR(TODAY())-1)&lt;365),""))))=14),
IF(OR($I5="",$L5="",Veri2!Z$1&lt;=YEAR($L5),Veri2!Z$1&gt;YEAR(TODAY())),"",IF(AND(Veri2!Z$1-YEAR($L5)&gt;=1,YEAR(TODAY())&lt;&gt;Veri2!Z$1),
LOOKUP(VALUE("31"&amp;"."&amp;"12"&amp;"."&amp;Veri2!Z$1)-$L5,{365,2190,5476},{20,20,26}),
IF(AND(YEAR(TODAY())=Veri2!Z$1,TODAY()-VALUE(DAY($L5)&amp;"."&amp;MONTH($L5)&amp;"."&amp;YEAR(TODAY())-1)&gt;=365),
LOOKUP(VALUE(DAY(TODAY())&amp;"."&amp;MONTH(TODAY())&amp;"."&amp;Veri2!Z$1)-$L5,{0,365,2190,5476},{0,20,20,26}),
IF(AND(YEAR(TODAY())=Veri2!Z$1,TODAY()-VALUE(DAY($L5)&amp;"."&amp;MONTH($L5)&amp;"."&amp;YEAR(TODAY())-1)&lt;365),"")))),
IF(OR($I5="",$L5="",Veri2!Z$1&lt;=YEAR($L5),Veri2!Z$1&gt;YEAR(TODAY())),"",IF(AND(Veri2!Z$1-YEAR($L5)&gt;=1,YEAR(TODAY())&lt;&gt;Veri2!Z$1),
LOOKUP(VALUE("31"&amp;"."&amp;"12"&amp;"."&amp;Veri2!Z$1)-$L5,{365,2190,5476},{14,20,26}),
IF(AND(YEAR(TODAY())=Veri2!Z$1,TODAY()-VALUE(DAY($L5)&amp;"."&amp;MONTH($L5)&amp;"."&amp;YEAR(TODAY())-1)&gt;=365),
LOOKUP(VALUE(DAY(TODAY())&amp;"."&amp;MONTH(TODAY())&amp;"."&amp;Veri2!Z$1)-$L5,{0,365,2190,5476},{0,14,20,26}),
IF(AND(YEAR(TODAY())=Veri2!Z$1,TODAY()-VALUE(DAY($L5)&amp;"."&amp;MONTH($L5)&amp;"."&amp;YEAR(TODAY())-1)&lt;365),"")))))</calculatedColumnFormula>
    </tableColumn>
    <tableColumn id="38" xr3:uid="{F4A9A2F9-4252-4774-B164-89C7719BA4C2}" name="2021" dataDxfId="66">
      <calculatedColumnFormula>IF(AND(INT(DATE(Veri2!AA$1,MONTH($L5),DAY($L5))-DATE(YEAR($M5),MONTH($M5),DAY($M5)))/365.25&gt;=50,
IF(OR($I5="",$L5="",Veri2!AA$1&lt;=YEAR($L5),Veri2!AA$1&gt;YEAR(TODAY())),"",IF(AND(Veri2!AA$1-YEAR($L5)&gt;=1,YEAR(TODAY())&lt;&gt;Veri2!AA$1),
LOOKUP(VALUE("31"&amp;"."&amp;"12"&amp;"."&amp;Veri2!AA$1)-$L5,{365,2190,5476},{14,20,26}),
IF(AND(YEAR(TODAY())=Veri2!AA$1,TODAY()-VALUE(DAY($L5)&amp;"."&amp;MONTH($L5)&amp;"."&amp;YEAR(TODAY())-1)&gt;=365),
LOOKUP(VALUE(DAY(TODAY())&amp;"."&amp;MONTH(TODAY())&amp;"."&amp;Veri2!AA$1)-$L5,{0,365,2190,5476},{0,14,20,26}),
IF(AND(YEAR(TODAY())=Veri2!AA$1,TODAY()-VALUE(DAY($L5)&amp;"."&amp;MONTH($L5)&amp;"."&amp;YEAR(TODAY())-1)&lt;365),""))))=14),
IF(OR($I5="",$L5="",Veri2!AA$1&lt;=YEAR($L5),Veri2!AA$1&gt;YEAR(TODAY())),"",IF(AND(Veri2!AA$1-YEAR($L5)&gt;=1,YEAR(TODAY())&lt;&gt;Veri2!AA$1),
LOOKUP(VALUE("31"&amp;"."&amp;"12"&amp;"."&amp;Veri2!AA$1)-$L5,{365,2190,5476},{20,20,26}),
IF(AND(YEAR(TODAY())=Veri2!AA$1,TODAY()-VALUE(DAY($L5)&amp;"."&amp;MONTH($L5)&amp;"."&amp;YEAR(TODAY())-1)&gt;=365),
LOOKUP(VALUE(DAY(TODAY())&amp;"."&amp;MONTH(TODAY())&amp;"."&amp;Veri2!AA$1)-$L5,{0,365,2190,5476},{0,20,20,26}),
IF(AND(YEAR(TODAY())=Veri2!AA$1,TODAY()-VALUE(DAY($L5)&amp;"."&amp;MONTH($L5)&amp;"."&amp;YEAR(TODAY())-1)&lt;365),"")))),
IF(OR($I5="",$L5="",Veri2!AA$1&lt;=YEAR($L5),Veri2!AA$1&gt;YEAR(TODAY())),"",IF(AND(Veri2!AA$1-YEAR($L5)&gt;=1,YEAR(TODAY())&lt;&gt;Veri2!AA$1),
LOOKUP(VALUE("31"&amp;"."&amp;"12"&amp;"."&amp;Veri2!AA$1)-$L5,{365,2190,5476},{14,20,26}),
IF(AND(YEAR(TODAY())=Veri2!AA$1,TODAY()-VALUE(DAY($L5)&amp;"."&amp;MONTH($L5)&amp;"."&amp;YEAR(TODAY())-1)&gt;=365),
LOOKUP(VALUE(DAY(TODAY())&amp;"."&amp;MONTH(TODAY())&amp;"."&amp;Veri2!AA$1)-$L5,{0,365,2190,5476},{0,14,20,26}),
IF(AND(YEAR(TODAY())=Veri2!AA$1,TODAY()-VALUE(DAY($L5)&amp;"."&amp;MONTH($L5)&amp;"."&amp;YEAR(TODAY())-1)&lt;365),"")))))</calculatedColumnFormula>
    </tableColumn>
    <tableColumn id="39" xr3:uid="{65873517-377E-498E-A2C3-20B4A760FC1E}" name="2022" dataDxfId="65">
      <calculatedColumnFormula>IF(AND(INT(DATE(Veri2!AB$1,MONTH($L5),DAY($L5))-DATE(YEAR($M5),MONTH($M5),DAY($M5)))/365.25&gt;=50,
IF(OR($I5="",$L5="",Veri2!AB$1&lt;=YEAR($L5),Veri2!AB$1&gt;YEAR(TODAY())),"",IF(AND(Veri2!AB$1-YEAR($L5)&gt;=1,YEAR(TODAY())&lt;&gt;Veri2!AB$1),
LOOKUP(VALUE("31"&amp;"."&amp;"12"&amp;"."&amp;Veri2!AB$1)-$L5,{365,2190,5476},{14,20,26}),
IF(AND(YEAR(TODAY())=Veri2!AB$1,TODAY()-VALUE(DAY($L5)&amp;"."&amp;MONTH($L5)&amp;"."&amp;YEAR(TODAY())-1)&gt;=365),
LOOKUP(VALUE(DAY(TODAY())&amp;"."&amp;MONTH(TODAY())&amp;"."&amp;Veri2!AB$1)-$L5,{0,365,2190,5476},{0,14,20,26}),
IF(AND(YEAR(TODAY())=Veri2!AB$1,TODAY()-VALUE(DAY($L5)&amp;"."&amp;MONTH($L5)&amp;"."&amp;YEAR(TODAY())-1)&lt;365),""))))=14),
IF(OR($I5="",$L5="",Veri2!AB$1&lt;=YEAR($L5),Veri2!AB$1&gt;YEAR(TODAY())),"",IF(AND(Veri2!AB$1-YEAR($L5)&gt;=1,YEAR(TODAY())&lt;&gt;Veri2!AB$1),
LOOKUP(VALUE("31"&amp;"."&amp;"12"&amp;"."&amp;Veri2!AB$1)-$L5,{365,2190,5476},{20,20,26}),
IF(AND(YEAR(TODAY())=Veri2!AB$1,TODAY()-VALUE(DAY($L5)&amp;"."&amp;MONTH($L5)&amp;"."&amp;YEAR(TODAY())-1)&gt;=365),
LOOKUP(VALUE(DAY(TODAY())&amp;"."&amp;MONTH(TODAY())&amp;"."&amp;Veri2!AB$1)-$L5,{0,365,2190,5476},{0,20,20,26}),
IF(AND(YEAR(TODAY())=Veri2!AB$1,TODAY()-VALUE(DAY($L5)&amp;"."&amp;MONTH($L5)&amp;"."&amp;YEAR(TODAY())-1)&lt;365),"")))),
IF(OR($I5="",$L5="",Veri2!AB$1&lt;=YEAR($L5),Veri2!AB$1&gt;YEAR(TODAY())),"",IF(AND(Veri2!AB$1-YEAR($L5)&gt;=1,YEAR(TODAY())&lt;&gt;Veri2!AB$1),
LOOKUP(VALUE("31"&amp;"."&amp;"12"&amp;"."&amp;Veri2!AB$1)-$L5,{365,2190,5476},{14,20,26}),
IF(AND(YEAR(TODAY())=Veri2!AB$1,TODAY()-VALUE(DAY($L5)&amp;"."&amp;MONTH($L5)&amp;"."&amp;YEAR(TODAY())-1)&gt;=365),
LOOKUP(VALUE(DAY(TODAY())&amp;"."&amp;MONTH(TODAY())&amp;"."&amp;Veri2!AB$1)-$L5,{0,365,2190,5476},{0,14,20,26}),
IF(AND(YEAR(TODAY())=Veri2!AB$1,TODAY()-VALUE(DAY($L5)&amp;"."&amp;MONTH($L5)&amp;"."&amp;YEAR(TODAY())-1)&lt;365),"")))))</calculatedColumnFormula>
    </tableColumn>
    <tableColumn id="40" xr3:uid="{4D41141B-1E0D-4031-8CD5-58526CE0FDD1}" name="2023" dataDxfId="64">
      <calculatedColumnFormula>IF(AND(INT(DATE(Veri2!AC$1,MONTH($L5),DAY($L5))-DATE(YEAR($M5),MONTH($M5),DAY($M5)))/365.25&gt;=50,
IF(OR($I5="",$L5="",Veri2!AC$1&lt;=YEAR($L5),Veri2!AC$1&gt;YEAR(TODAY())),"",IF(AND(Veri2!AC$1-YEAR($L5)&gt;=1,YEAR(TODAY())&lt;&gt;Veri2!AC$1),
LOOKUP(VALUE("31"&amp;"."&amp;"12"&amp;"."&amp;Veri2!AC$1)-$L5,{365,2190,5476},{14,20,26}),
IF(AND(YEAR(TODAY())=Veri2!AC$1,TODAY()-VALUE(DAY($L5)&amp;"."&amp;MONTH($L5)&amp;"."&amp;YEAR(TODAY())-1)&gt;=365),
LOOKUP(VALUE(DAY(TODAY())&amp;"."&amp;MONTH(TODAY())&amp;"."&amp;Veri2!AC$1)-$L5,{0,365,2190,5476},{0,14,20,26}),
IF(AND(YEAR(TODAY())=Veri2!AC$1,TODAY()-VALUE(DAY($L5)&amp;"."&amp;MONTH($L5)&amp;"."&amp;YEAR(TODAY())-1)&lt;365),""))))=14),
IF(OR($I5="",$L5="",Veri2!AC$1&lt;=YEAR($L5),Veri2!AC$1&gt;YEAR(TODAY())),"",IF(AND(Veri2!AC$1-YEAR($L5)&gt;=1,YEAR(TODAY())&lt;&gt;Veri2!AC$1),
LOOKUP(VALUE("31"&amp;"."&amp;"12"&amp;"."&amp;Veri2!AC$1)-$L5,{365,2190,5476},{20,20,26}),
IF(AND(YEAR(TODAY())=Veri2!AC$1,TODAY()-VALUE(DAY($L5)&amp;"."&amp;MONTH($L5)&amp;"."&amp;YEAR(TODAY())-1)&gt;=365),
LOOKUP(VALUE(DAY(TODAY())&amp;"."&amp;MONTH(TODAY())&amp;"."&amp;Veri2!AC$1)-$L5,{0,365,2190,5476},{0,20,20,26}),
IF(AND(YEAR(TODAY())=Veri2!AC$1,TODAY()-VALUE(DAY($L5)&amp;"."&amp;MONTH($L5)&amp;"."&amp;YEAR(TODAY())-1)&lt;365),"")))),
IF(OR($I5="",$L5="",Veri2!AC$1&lt;=YEAR($L5),Veri2!AC$1&gt;YEAR(TODAY())),"",IF(AND(Veri2!AC$1-YEAR($L5)&gt;=1,YEAR(TODAY())&lt;&gt;Veri2!AC$1),
LOOKUP(VALUE("31"&amp;"."&amp;"12"&amp;"."&amp;Veri2!AC$1)-$L5,{365,2190,5476},{14,20,26}),
IF(AND(YEAR(TODAY())=Veri2!AC$1,TODAY()-VALUE(DAY($L5)&amp;"."&amp;MONTH($L5)&amp;"."&amp;YEAR(TODAY())-1)&gt;=365),
LOOKUP(VALUE(DAY(TODAY())&amp;"."&amp;MONTH(TODAY())&amp;"."&amp;Veri2!AC$1)-$L5,{0,365,2190,5476},{0,14,20,26}),
IF(AND(YEAR(TODAY())=Veri2!AC$1,TODAY()-VALUE(DAY($L5)&amp;"."&amp;MONTH($L5)&amp;"."&amp;YEAR(TODAY())-1)&lt;365),"")))))</calculatedColumnFormula>
    </tableColumn>
    <tableColumn id="41" xr3:uid="{341950A5-3A86-4545-937E-13753A634ACC}" name="2024" dataDxfId="63">
      <calculatedColumnFormula>IFERROR(IF(OR($L5=0, $L5="", DATE(Veri2!AD$1, MONTH($L5), DAY($L5))&lt;=$L5, DATE(Veri2!AD$1, MONTH($L5), DAY($L5))&gt;TODAY()), "", IF((DATEDIF($L5, DATE(Veri2!AD$1, MONTH($L5), DAY($L5)), "y")+$BW5)&lt;1, 0, IF(OR(DATEDIF($M5, DATE(Veri2!AD$1, MONTH($L5), DAY($L5)), "y")&gt;=50, DATEDIF($M5, DATE(Veri2!AD$1, MONTH($L5), DAY($L5)), "y")&lt;=18), IF((DATEDIF($L5, DATE(Veri2!AD$1, MONTH($L5), DAY($L5)), "y")+$BW5)&gt;=15, 26, 20), IF((DATEDIF($L5, DATE(Veri2!AD$1, MONTH($L5), DAY($L5)), "y")+$BW5)&gt;=15, 26, IF((DATEDIF($L5, DATE(Veri2!AD$1, MONTH($L5), DAY($L5)), "y")+$BW5)&gt;=5, 20, 14))))), "")</calculatedColumnFormula>
    </tableColumn>
    <tableColumn id="42" xr3:uid="{22220028-9BE5-4184-8ACF-5E05586A0BF0}" name="2025" dataDxfId="62">
      <calculatedColumnFormula>IFERROR(IF(OR($L5=0, $L5="", DATE(Veri2!AE$1, MONTH($L5), DAY($L5))&lt;=$L5, DATE(Veri2!AE$1, MONTH($L5), DAY($L5))&gt;TODAY()), "",
    IF((DATEDIF($L5, DATE(Veri2!AE$1, MONTH($L5), DAY($L5)), "y")+$BW5)&lt;1, 0,
        IF(OR(DATEDIF($M5, DATE(Veri2!AE$1, MONTH($L5), DAY($L5)), "y")&gt;=50, DATEDIF($M5, DATE(Veri2!AE$1, MONTH($L5), DAY($L5)), "y")&lt;=18),
            IF((DATEDIF($L5, DATE(Veri2!AE$1, MONTH($L5), DAY($L5)), "y")+$BW5)&gt;=15, 26, 20),
            IF((DATEDIF($L5, DATE(Veri2!AE$1, MONTH($L5), DAY($L5)), "y")+$BW5)&gt;=15, 26,
                IF((DATEDIF($L5, DATE(Veri2!AE$1, MONTH($L5), DAY($L5)), "y")+$BW5)&gt;5, 20, 14))
        )
    )
), "")</calculatedColumnFormula>
    </tableColumn>
    <tableColumn id="43" xr3:uid="{9E8CB241-21C3-4A8B-B365-89DB6D4685A9}" name="2026" dataDxfId="61">
      <calculatedColumnFormula>IFERROR(IF(OR($L5=0, $L5="", DATE(Veri2!AF$1, MONTH($L5), DAY($L5))&lt;=$L5, DATE(Veri2!AF$1, MONTH($L5), DAY($L5))&gt;TODAY()), "",
    IF((DATEDIF($L5, DATE(Veri2!AF$1, MONTH($L5), DAY($L5)), "y")+$BW5)&lt;1, 0,
        IF(OR(DATEDIF($M5, DATE(Veri2!AF$1, MONTH($L5), DAY($L5)), "y")&gt;=50, DATEDIF($M5, DATE(Veri2!AF$1, MONTH($L5), DAY($L5)), "y")&lt;=18),
            IF((DATEDIF($L5, DATE(Veri2!AF$1, MONTH($L5), DAY($L5)), "y")+$BW5)&gt;=15, 26, 20),
            IF((DATEDIF($L5, DATE(Veri2!AF$1, MONTH($L5), DAY($L5)), "y")+$BW5)&gt;=15, 26,
                IF((DATEDIF($L5, DATE(Veri2!AF$1, MONTH($L5), DAY($L5)), "y")+$BW5)&gt;5, 20, 14))
        )
    )
), "")</calculatedColumnFormula>
    </tableColumn>
    <tableColumn id="44" xr3:uid="{F98EA4EF-0309-455F-8312-4A5B63D8F14C}" name="2027" dataDxfId="60">
      <calculatedColumnFormula>IFERROR(IF(OR($L5=0, $L5="", DATE(Veri2!AG$1, MONTH($L5), DAY($L5))&lt;=$L5, DATE(Veri2!AG$1, MONTH($L5), DAY($L5))&gt;TODAY()), "",
    IF((DATEDIF($L5, DATE(Veri2!AG$1, MONTH($L5), DAY($L5)), "y")+$BW5)&lt;1, 0,
        IF(OR(DATEDIF($M5, DATE(Veri2!AG$1, MONTH($L5), DAY($L5)), "y")&gt;=50, DATEDIF($M5, DATE(Veri2!AG$1, MONTH($L5), DAY($L5)), "y")&lt;=18),
            IF((DATEDIF($L5, DATE(Veri2!AG$1, MONTH($L5), DAY($L5)), "y")+$BW5)&gt;=15, 26, 20),
            IF((DATEDIF($L5, DATE(Veri2!AG$1, MONTH($L5), DAY($L5)), "y")+$BW5)&gt;=15, 26,
                IF((DATEDIF($L5, DATE(Veri2!AG$1, MONTH($L5), DAY($L5)), "y")+$BW5)&gt;5, 20, 14))
        )
    )
), "")</calculatedColumnFormula>
    </tableColumn>
    <tableColumn id="45" xr3:uid="{69389BFC-E126-4AFB-AF8B-2200B2939A7B}" name="2028" dataDxfId="59">
      <calculatedColumnFormula>IFERROR(IF(OR($L5=0, $L5="", DATE(Veri2!AH$1, MONTH($L5), DAY($L5))&lt;=$L5, DATE(Veri2!AH$1, MONTH($L5), DAY($L5))&gt;TODAY()), "",
    IF((DATEDIF($L5, DATE(Veri2!AH$1, MONTH($L5), DAY($L5)), "y")+$BW5)&lt;1, 0,
        IF(OR(DATEDIF($M5, DATE(Veri2!AH$1, MONTH($L5), DAY($L5)), "y")&gt;=50, DATEDIF($M5, DATE(Veri2!AH$1, MONTH($L5), DAY($L5)), "y")&lt;=18),
            IF((DATEDIF($L5, DATE(Veri2!AH$1, MONTH($L5), DAY($L5)), "y")+$BW5)&gt;=15, 26, 20),
            IF((DATEDIF($L5, DATE(Veri2!AH$1, MONTH($L5), DAY($L5)), "y")+$BW5)&gt;=15, 26,
                IF((DATEDIF($L5, DATE(Veri2!AH$1, MONTH($L5), DAY($L5)), "y")+$BW5)&gt;5, 20, 14))
        )
    )
), "")</calculatedColumnFormula>
    </tableColumn>
    <tableColumn id="46" xr3:uid="{47CA4E92-576E-4662-8443-462259AFC01A}" name="2029" dataDxfId="58">
      <calculatedColumnFormula>IFERROR(IF(OR($L5=0, $L5="", DATE(Veri2!AI$1, MONTH($L5), DAY($L5))&lt;=$L5, DATE(Veri2!AI$1, MONTH($L5), DAY($L5))&gt;TODAY()), "",
    IF((DATEDIF($L5, DATE(Veri2!AI$1, MONTH($L5), DAY($L5)), "y")+$BW5)&lt;1, 0,
        IF(OR(DATEDIF($M5, DATE(Veri2!AI$1, MONTH($L5), DAY($L5)), "y")&gt;=50, DATEDIF($M5, DATE(Veri2!AI$1, MONTH($L5), DAY($L5)), "y")&lt;=18),
            IF((DATEDIF($L5, DATE(Veri2!AI$1, MONTH($L5), DAY($L5)), "y")+$BW5)&gt;=15, 26, 20),
            IF((DATEDIF($L5, DATE(Veri2!AI$1, MONTH($L5), DAY($L5)), "y")+$BW5)&gt;=15, 26,
                IF((DATEDIF($L5, DATE(Veri2!AI$1, MONTH($L5), DAY($L5)), "y")+$BW5)&gt;5, 20, 14))
        )
    )
), "")</calculatedColumnFormula>
    </tableColumn>
    <tableColumn id="47" xr3:uid="{B05DBD17-46FB-4FAD-8AD6-513CE1902409}" name="2030" dataDxfId="57">
      <calculatedColumnFormula>IFERROR(IF(OR($L5=0, $L5="", DATE(Veri2!AJ$1, MONTH($L5), DAY($L5))&lt;=$L5, DATE(Veri2!AJ$1, MONTH($L5), DAY($L5))&gt;TODAY()), "",
    IF((DATEDIF($L5, DATE(Veri2!AJ$1, MONTH($L5), DAY($L5)), "y")+$BW5)&lt;1, 0,
        IF(OR(DATEDIF($M5, DATE(Veri2!AJ$1, MONTH($L5), DAY($L5)), "y")&gt;=50, DATEDIF($M5, DATE(Veri2!AJ$1, MONTH($L5), DAY($L5)), "y")&lt;=18),
            IF((DATEDIF($L5, DATE(Veri2!AJ$1, MONTH($L5), DAY($L5)), "y")+$BW5)&gt;=15, 26, 20),
            IF((DATEDIF($L5, DATE(Veri2!AJ$1, MONTH($L5), DAY($L5)), "y")+$BW5)&gt;=15, 26,
                IF((DATEDIF($L5, DATE(Veri2!AJ$1, MONTH($L5), DAY($L5)), "y")+$BW5)&gt;5, 20, 14))
        )
    )
), "")</calculatedColumnFormula>
    </tableColumn>
    <tableColumn id="48" xr3:uid="{E03FD94E-8A97-43BF-914D-B2FEFC96A1A1}" name="2031" dataDxfId="56">
      <calculatedColumnFormula>IFERROR(IF(OR($L5=0, $L5="", DATE(Veri2!AK$1, MONTH($L5), DAY($L5))&lt;=$L5, DATE(Veri2!AK$1, MONTH($L5), DAY($L5))&gt;TODAY()), "",
    IF((DATEDIF($L5, DATE(Veri2!AK$1, MONTH($L5), DAY($L5)), "y")+$BW5)&lt;1, 0,
        IF(OR(DATEDIF($M5, DATE(Veri2!AK$1, MONTH($L5), DAY($L5)), "y")&gt;=50, DATEDIF($M5, DATE(Veri2!AK$1, MONTH($L5), DAY($L5)), "y")&lt;=18),
            IF((DATEDIF($L5, DATE(Veri2!AK$1, MONTH($L5), DAY($L5)), "y")+$BW5)&gt;=15, 26, 20),
            IF((DATEDIF($L5, DATE(Veri2!AK$1, MONTH($L5), DAY($L5)), "y")+$BW5)&gt;=15, 26,
                IF((DATEDIF($L5, DATE(Veri2!AK$1, MONTH($L5), DAY($L5)), "y")+$BW5)&gt;5, 20, 14))
        )
    )
), "")</calculatedColumnFormula>
    </tableColumn>
    <tableColumn id="49" xr3:uid="{3B928EE1-3AD1-45FE-9ECC-3A0F0D805A36}" name="2032" dataDxfId="55">
      <calculatedColumnFormula>IFERROR(IF(OR($L5=0, $L5="", DATE(Veri2!AL$1, MONTH($L5), DAY($L5))&lt;=$L5, DATE(Veri2!AL$1, MONTH($L5), DAY($L5))&gt;TODAY()), "",
    IF((DATEDIF($L5, DATE(Veri2!AL$1, MONTH($L5), DAY($L5)), "y")+$BW5)&lt;1, 0,
        IF(OR(DATEDIF($M5, DATE(Veri2!AL$1, MONTH($L5), DAY($L5)), "y")&gt;=50, DATEDIF($M5, DATE(Veri2!AL$1, MONTH($L5), DAY($L5)), "y")&lt;=18),
            IF((DATEDIF($L5, DATE(Veri2!AL$1, MONTH($L5), DAY($L5)), "y")+$BW5)&gt;=15, 26, 20),
            IF((DATEDIF($L5, DATE(Veri2!AL$1, MONTH($L5), DAY($L5)), "y")+$BW5)&gt;=15, 26,
                IF((DATEDIF($L5, DATE(Veri2!AL$1, MONTH($L5), DAY($L5)), "y")+$BW5)&gt;5, 20, 14))
        )
    )
), "")</calculatedColumnFormula>
    </tableColumn>
    <tableColumn id="50" xr3:uid="{F1CA04D8-BE20-4FDB-A8C4-B5F6876775D4}" name="2033" dataDxfId="54">
      <calculatedColumnFormula>IFERROR(IF(OR($L5=0, $L5="", DATE(Veri2!AM$1, MONTH($L5), DAY($L5))&lt;=$L5, DATE(Veri2!AM$1, MONTH($L5), DAY($L5))&gt;TODAY()), "",
    IF((DATEDIF($L5, DATE(Veri2!AM$1, MONTH($L5), DAY($L5)), "y")+$BW5)&lt;1, 0,
        IF(OR(DATEDIF($M5, DATE(Veri2!AM$1, MONTH($L5), DAY($L5)), "y")&gt;=50, DATEDIF($M5, DATE(Veri2!AM$1, MONTH($L5), DAY($L5)), "y")&lt;=18),
            IF((DATEDIF($L5, DATE(Veri2!AM$1, MONTH($L5), DAY($L5)), "y")+$BW5)&gt;=15, 26, 20),
            IF((DATEDIF($L5, DATE(Veri2!AM$1, MONTH($L5), DAY($L5)), "y")+$BW5)&gt;=15, 26,
                IF((DATEDIF($L5, DATE(Veri2!AM$1, MONTH($L5), DAY($L5)), "y")+$BW5)&gt;5, 20, 14))
        )
    )
), "")</calculatedColumnFormula>
    </tableColumn>
    <tableColumn id="51" xr3:uid="{380B73B6-92DA-44BB-B1EC-020108196723}" name="2034" dataDxfId="53">
      <calculatedColumnFormula>IFERROR(IF(OR($L5=0, $L5="", DATE(Veri2!AN$1, MONTH($L5), DAY($L5))&lt;=$L5, DATE(Veri2!AN$1, MONTH($L5), DAY($L5))&gt;TODAY()), "",
    IF((DATEDIF($L5, DATE(Veri2!AN$1, MONTH($L5), DAY($L5)), "y")+$BW5)&lt;1, 0,
        IF(OR(DATEDIF($M5, DATE(Veri2!AN$1, MONTH($L5), DAY($L5)), "y")&gt;=50, DATEDIF($M5, DATE(Veri2!AN$1, MONTH($L5), DAY($L5)), "y")&lt;=18),
            IF((DATEDIF($L5, DATE(Veri2!AN$1, MONTH($L5), DAY($L5)), "y")+$BW5)&gt;=15, 26, 20),
            IF((DATEDIF($L5, DATE(Veri2!AN$1, MONTH($L5), DAY($L5)), "y")+$BW5)&gt;=15, 26,
                IF((DATEDIF($L5, DATE(Veri2!AN$1, MONTH($L5), DAY($L5)), "y")+$BW5)&gt;5, 20, 14))
        )
    )
), "")</calculatedColumnFormula>
    </tableColumn>
    <tableColumn id="52" xr3:uid="{49FEC2B6-9999-43BE-A265-8048A189ADBB}" name="2035" dataDxfId="52">
      <calculatedColumnFormula>IFERROR(IF(OR($L5=0, $L5="", DATE(Veri2!AO$1, MONTH($L5), DAY($L5))&lt;=$L5, DATE(Veri2!AO$1, MONTH($L5), DAY($L5))&gt;TODAY()), "",
    IF((DATEDIF($L5, DATE(Veri2!AO$1, MONTH($L5), DAY($L5)), "y")+$BW5)&lt;1, 0,
        IF(OR(DATEDIF($M5, DATE(Veri2!AO$1, MONTH($L5), DAY($L5)), "y")&gt;=50, DATEDIF($M5, DATE(Veri2!AO$1, MONTH($L5), DAY($L5)), "y")&lt;=18),
            IF((DATEDIF($L5, DATE(Veri2!AO$1, MONTH($L5), DAY($L5)), "y")+$BW5)&gt;=15, 26, 20),
            IF((DATEDIF($L5, DATE(Veri2!AO$1, MONTH($L5), DAY($L5)), "y")+$BW5)&gt;=15, 26,
                IF((DATEDIF($L5, DATE(Veri2!AO$1, MONTH($L5), DAY($L5)), "y")+$BW5)&gt;5, 20, 14))
        )
    )
), "")</calculatedColumnFormula>
    </tableColumn>
    <tableColumn id="53" xr3:uid="{81294CBB-0C18-4047-B903-CB506FD19E26}" name="2036" dataDxfId="51">
      <calculatedColumnFormula>IFERROR(IF(OR($L5=0, $L5="", DATE(Veri2!AP$1, MONTH($L5), DAY($L5))&lt;=$L5, DATE(Veri2!AP$1, MONTH($L5), DAY($L5))&gt;TODAY()), "",
    IF((DATEDIF($L5, DATE(Veri2!AP$1, MONTH($L5), DAY($L5)), "y")+$BW5)&lt;1, 0,
        IF(OR(DATEDIF($M5, DATE(Veri2!AP$1, MONTH($L5), DAY($L5)), "y")&gt;=50, DATEDIF($M5, DATE(Veri2!AP$1, MONTH($L5), DAY($L5)), "y")&lt;=18),
            IF((DATEDIF($L5, DATE(Veri2!AP$1, MONTH($L5), DAY($L5)), "y")+$BW5)&gt;=15, 26, 20),
            IF((DATEDIF($L5, DATE(Veri2!AP$1, MONTH($L5), DAY($L5)), "y")+$BW5)&gt;=15, 26,
                IF((DATEDIF($L5, DATE(Veri2!AP$1, MONTH($L5), DAY($L5)), "y")+$BW5)&gt;5, 20, 14))
        )
    )
), "")</calculatedColumnFormula>
    </tableColumn>
    <tableColumn id="54" xr3:uid="{C06240CB-E9B1-46B9-A8ED-9CE84E4988B4}" name="2037" dataDxfId="50">
      <calculatedColumnFormula>IFERROR(IF(OR($L5=0, $L5="", DATE(Veri2!AQ$1, MONTH($L5), DAY($L5))&lt;=$L5, DATE(Veri2!AQ$1, MONTH($L5), DAY($L5))&gt;TODAY()), "",
    IF((DATEDIF($L5, DATE(Veri2!AQ$1, MONTH($L5), DAY($L5)), "y")+$BW5)&lt;1, 0,
        IF(OR(DATEDIF($M5, DATE(Veri2!AQ$1, MONTH($L5), DAY($L5)), "y")&gt;=50, DATEDIF($M5, DATE(Veri2!AQ$1, MONTH($L5), DAY($L5)), "y")&lt;=18),
            IF((DATEDIF($L5, DATE(Veri2!AQ$1, MONTH($L5), DAY($L5)), "y")+$BW5)&gt;=15, 26, 20),
            IF((DATEDIF($L5, DATE(Veri2!AQ$1, MONTH($L5), DAY($L5)), "y")+$BW5)&gt;=15, 26,
                IF((DATEDIF($L5, DATE(Veri2!AQ$1, MONTH($L5), DAY($L5)), "y")+$BW5)&gt;5, 20, 14))
        )
    )
), "")</calculatedColumnFormula>
    </tableColumn>
    <tableColumn id="55" xr3:uid="{27059AFC-943D-4DDF-9567-76419A263677}" name="2038" dataDxfId="49">
      <calculatedColumnFormula>IFERROR(IF(OR($L5=0, $L5="", DATE(Veri2!AR$1, MONTH($L5), DAY($L5))&lt;=$L5, DATE(Veri2!AR$1, MONTH($L5), DAY($L5))&gt;TODAY()), "",
    IF((DATEDIF($L5, DATE(Veri2!AR$1, MONTH($L5), DAY($L5)), "y")+$BW5)&lt;1, 0,
        IF(OR(DATEDIF($M5, DATE(Veri2!AR$1, MONTH($L5), DAY($L5)), "y")&gt;=50, DATEDIF($M5, DATE(Veri2!AR$1, MONTH($L5), DAY($L5)), "y")&lt;=18),
            IF((DATEDIF($L5, DATE(Veri2!AR$1, MONTH($L5), DAY($L5)), "y")+$BW5)&gt;=15, 26, 20),
            IF((DATEDIF($L5, DATE(Veri2!AR$1, MONTH($L5), DAY($L5)), "y")+$BW5)&gt;=15, 26,
                IF((DATEDIF($L5, DATE(Veri2!AR$1, MONTH($L5), DAY($L5)), "y")+$BW5)&gt;5, 20, 14))
        )
    )
), "")</calculatedColumnFormula>
    </tableColumn>
    <tableColumn id="56" xr3:uid="{3B81F5F2-E15F-403D-BDAB-94D2082C5872}" name="2039" dataDxfId="48">
      <calculatedColumnFormula>IFERROR(IF(OR($L5=0, $L5="", DATE(Veri2!AS$1, MONTH($L5), DAY($L5))&lt;=$L5, DATE(Veri2!AS$1, MONTH($L5), DAY($L5))&gt;TODAY()), "",
    IF((DATEDIF($L5, DATE(Veri2!AS$1, MONTH($L5), DAY($L5)), "y")+$BW5)&lt;1, 0,
        IF(OR(DATEDIF($M5, DATE(Veri2!AS$1, MONTH($L5), DAY($L5)), "y")&gt;=50, DATEDIF($M5, DATE(Veri2!AS$1, MONTH($L5), DAY($L5)), "y")&lt;=18),
            IF((DATEDIF($L5, DATE(Veri2!AS$1, MONTH($L5), DAY($L5)), "y")+$BW5)&gt;=15, 26, 20),
            IF((DATEDIF($L5, DATE(Veri2!AS$1, MONTH($L5), DAY($L5)), "y")+$BW5)&gt;=15, 26,
                IF((DATEDIF($L5, DATE(Veri2!AS$1, MONTH($L5), DAY($L5)), "y")+$BW5)&gt;5, 20, 14))
        )
    )
), "")</calculatedColumnFormula>
    </tableColumn>
    <tableColumn id="57" xr3:uid="{DD585CB4-8D64-4CAD-9B9D-9DA6274A9EB0}" name="2040" dataDxfId="47">
      <calculatedColumnFormula>IFERROR(IF(OR($L5=0, $L5="", DATE(Veri2!AT$1, MONTH($L5), DAY($L5))&lt;=$L5, DATE(Veri2!AT$1, MONTH($L5), DAY($L5))&gt;TODAY()), "",
    IF((DATEDIF($L5, DATE(Veri2!AT$1, MONTH($L5), DAY($L5)), "y")+$BW5)&lt;1, 0,
        IF(OR(DATEDIF($M5, DATE(Veri2!AT$1, MONTH($L5), DAY($L5)), "y")&gt;=50, DATEDIF($M5, DATE(Veri2!AT$1, MONTH($L5), DAY($L5)), "y")&lt;=18),
            IF((DATEDIF($L5, DATE(Veri2!AT$1, MONTH($L5), DAY($L5)), "y")+$BW5)&gt;=15, 26, 20),
            IF((DATEDIF($L5, DATE(Veri2!AT$1, MONTH($L5), DAY($L5)), "y")+$BW5)&gt;=15, 26,
                IF((DATEDIF($L5, DATE(Veri2!AT$1, MONTH($L5), DAY($L5)), "y")+$BW5)&gt;5, 20, 14))
        )
    )
), "")</calculatedColumnFormula>
    </tableColumn>
    <tableColumn id="58" xr3:uid="{70A86D9A-BA3D-4512-B8ED-FC0C78D71907}" name="2041" dataDxfId="46">
      <calculatedColumnFormula>IFERROR(IF(OR($L5=0, $L5="", DATE(Veri2!AU$1, MONTH($L5), DAY($L5))&lt;=$L5, DATE(Veri2!AU$1, MONTH($L5), DAY($L5))&gt;TODAY()), "",
    IF((DATEDIF($L5, DATE(Veri2!AU$1, MONTH($L5), DAY($L5)), "y")+$BW5)&lt;1, 0,
        IF(OR(DATEDIF($M5, DATE(Veri2!AU$1, MONTH($L5), DAY($L5)), "y")&gt;=50, DATEDIF($M5, DATE(Veri2!AU$1, MONTH($L5), DAY($L5)), "y")&lt;=18),
            IF((DATEDIF($L5, DATE(Veri2!AU$1, MONTH($L5), DAY($L5)), "y")+$BW5)&gt;=15, 26, 20),
            IF((DATEDIF($L5, DATE(Veri2!AU$1, MONTH($L5), DAY($L5)), "y")+$BW5)&gt;=15, 26,
                IF((DATEDIF($L5, DATE(Veri2!AU$1, MONTH($L5), DAY($L5)), "y")+$BW5)&gt;5, 20, 14))
        )
    )
), "")</calculatedColumnFormula>
    </tableColumn>
    <tableColumn id="59" xr3:uid="{C6A379EF-08FA-48A6-87F7-25303DEB1F6C}" name="2042" dataDxfId="45">
      <calculatedColumnFormula>IFERROR(IF(OR($L5=0, $L5="", DATE(Veri2!AV$1, MONTH($L5), DAY($L5))&lt;=$L5, DATE(Veri2!AV$1, MONTH($L5), DAY($L5))&gt;TODAY()), "",
    IF((DATEDIF($L5, DATE(Veri2!AV$1, MONTH($L5), DAY($L5)), "y")+$BW5)&lt;1, 0,
        IF(OR(DATEDIF($M5, DATE(Veri2!AV$1, MONTH($L5), DAY($L5)), "y")&gt;=50, DATEDIF($M5, DATE(Veri2!AV$1, MONTH($L5), DAY($L5)), "y")&lt;=18),
            IF((DATEDIF($L5, DATE(Veri2!AV$1, MONTH($L5), DAY($L5)), "y")+$BW5)&gt;=15, 26, 20),
            IF((DATEDIF($L5, DATE(Veri2!AV$1, MONTH($L5), DAY($L5)), "y")+$BW5)&gt;=15, 26,
                IF((DATEDIF($L5, DATE(Veri2!AV$1, MONTH($L5), DAY($L5)), "y")+$BW5)&gt;5, 20, 14))
        )
    )
), "")</calculatedColumnFormula>
    </tableColumn>
    <tableColumn id="60" xr3:uid="{10B095CB-F378-4EBE-B45A-3B2F3817D696}" name="2043" dataDxfId="44">
      <calculatedColumnFormula>IFERROR(IF(OR($L5=0, $L5="", DATE(Veri2!AW$1, MONTH($L5), DAY($L5))&lt;=$L5, DATE(Veri2!AW$1, MONTH($L5), DAY($L5))&gt;TODAY()), "",
    IF((DATEDIF($L5, DATE(Veri2!AW$1, MONTH($L5), DAY($L5)), "y")+$BW5)&lt;1, 0,
        IF(OR(DATEDIF($M5, DATE(Veri2!AW$1, MONTH($L5), DAY($L5)), "y")&gt;=50, DATEDIF($M5, DATE(Veri2!AW$1, MONTH($L5), DAY($L5)), "y")&lt;=18),
            IF((DATEDIF($L5, DATE(Veri2!AW$1, MONTH($L5), DAY($L5)), "y")+$BW5)&gt;=15, 26, 20),
            IF((DATEDIF($L5, DATE(Veri2!AW$1, MONTH($L5), DAY($L5)), "y")+$BW5)&gt;=15, 26,
                IF((DATEDIF($L5, DATE(Veri2!AW$1, MONTH($L5), DAY($L5)), "y")+$BW5)&gt;5, 20, 14))
        )
    )
), "")</calculatedColumnFormula>
    </tableColumn>
    <tableColumn id="61" xr3:uid="{F530CC9F-B6E9-4AA3-BDB2-0A5095F37CCF}" name="2044" dataDxfId="43">
      <calculatedColumnFormula>IFERROR(IF(OR($L5=0, $L5="", DATE(Veri2!AX$1, MONTH($L5), DAY($L5))&lt;=$L5, DATE(Veri2!AX$1, MONTH($L5), DAY($L5))&gt;TODAY()), "",
    IF((DATEDIF($L5, DATE(Veri2!AX$1, MONTH($L5), DAY($L5)), "y")+$BW5)&lt;1, 0,
        IF(OR(DATEDIF($M5, DATE(Veri2!AX$1, MONTH($L5), DAY($L5)), "y")&gt;=50, DATEDIF($M5, DATE(Veri2!AX$1, MONTH($L5), DAY($L5)), "y")&lt;=18),
            IF((DATEDIF($L5, DATE(Veri2!AX$1, MONTH($L5), DAY($L5)), "y")+$BW5)&gt;=15, 26, 20),
            IF((DATEDIF($L5, DATE(Veri2!AX$1, MONTH($L5), DAY($L5)), "y")+$BW5)&gt;=15, 26,
                IF((DATEDIF($L5, DATE(Veri2!AX$1, MONTH($L5), DAY($L5)), "y")+$BW5)&gt;5, 20, 14))
        )
    )
), "")</calculatedColumnFormula>
    </tableColumn>
    <tableColumn id="62" xr3:uid="{2C4D66DE-32B8-4291-8262-D4B841DD3D6F}" name="2045" dataDxfId="42">
      <calculatedColumnFormula>IFERROR(IF(OR($L5=0, $L5="", DATE(Veri2!AY$1, MONTH($L5), DAY($L5))&lt;=$L5, DATE(Veri2!AY$1, MONTH($L5), DAY($L5))&gt;TODAY()), "",
    IF((DATEDIF($L5, DATE(Veri2!AY$1, MONTH($L5), DAY($L5)), "y")+$BW5)&lt;1, 0,
        IF(OR(DATEDIF($M5, DATE(Veri2!AY$1, MONTH($L5), DAY($L5)), "y")&gt;=50, DATEDIF($M5, DATE(Veri2!AY$1, MONTH($L5), DAY($L5)), "y")&lt;=18),
            IF((DATEDIF($L5, DATE(Veri2!AY$1, MONTH($L5), DAY($L5)), "y")+$BW5)&gt;=15, 26, 20),
            IF((DATEDIF($L5, DATE(Veri2!AY$1, MONTH($L5), DAY($L5)), "y")+$BW5)&gt;=15, 26,
                IF((DATEDIF($L5, DATE(Veri2!AY$1, MONTH($L5), DAY($L5)), "y")+$BW5)&gt;5, 20, 14))
        )
    )
), "")</calculatedColumnFormula>
    </tableColumn>
    <tableColumn id="63" xr3:uid="{C682E08B-62EF-4F1C-ADB0-B14D924DAFCA}" name="2046" dataDxfId="41">
      <calculatedColumnFormula>IFERROR(IF(OR($L5=0, $L5="", DATE(Veri2!AZ$1, MONTH($L5), DAY($L5))&lt;=$L5, DATE(Veri2!AZ$1, MONTH($L5), DAY($L5))&gt;TODAY()), "",
    IF((DATEDIF($L5, DATE(Veri2!AZ$1, MONTH($L5), DAY($L5)), "y")+$BW5)&lt;1, 0,
        IF(OR(DATEDIF($M5, DATE(Veri2!AZ$1, MONTH($L5), DAY($L5)), "y")&gt;=50, DATEDIF($M5, DATE(Veri2!AZ$1, MONTH($L5), DAY($L5)), "y")&lt;=18),
            IF((DATEDIF($L5, DATE(Veri2!AZ$1, MONTH($L5), DAY($L5)), "y")+$BW5)&gt;=15, 26, 20),
            IF((DATEDIF($L5, DATE(Veri2!AZ$1, MONTH($L5), DAY($L5)), "y")+$BW5)&gt;=15, 26,
                IF((DATEDIF($L5, DATE(Veri2!AZ$1, MONTH($L5), DAY($L5)), "y")+$BW5)&gt;5, 20, 14))
        )
    )
), "")</calculatedColumnFormula>
    </tableColumn>
    <tableColumn id="64" xr3:uid="{FB25FAD7-912C-4F44-81AE-4B48AEB10704}" name="2047" dataDxfId="40">
      <calculatedColumnFormula>IFERROR(IF(OR($L5=0, $L5="", DATE(Veri2!BA$1, MONTH($L5), DAY($L5))&lt;=$L5, DATE(Veri2!BA$1, MONTH($L5), DAY($L5))&gt;TODAY()), "",
    IF((DATEDIF($L5, DATE(Veri2!BA$1, MONTH($L5), DAY($L5)), "y")+$BW5)&lt;1, 0,
        IF(OR(DATEDIF($M5, DATE(Veri2!BA$1, MONTH($L5), DAY($L5)), "y")&gt;=50, DATEDIF($M5, DATE(Veri2!BA$1, MONTH($L5), DAY($L5)), "y")&lt;=18),
            IF((DATEDIF($L5, DATE(Veri2!BA$1, MONTH($L5), DAY($L5)), "y")+$BW5)&gt;=15, 26, 20),
            IF((DATEDIF($L5, DATE(Veri2!BA$1, MONTH($L5), DAY($L5)), "y")+$BW5)&gt;=15, 26,
                IF((DATEDIF($L5, DATE(Veri2!BA$1, MONTH($L5), DAY($L5)), "y")+$BW5)&gt;5, 20, 14))
        )
    )
), "")</calculatedColumnFormula>
    </tableColumn>
    <tableColumn id="65" xr3:uid="{2F2E39AA-2C43-4D31-8AA7-AF8CAC885C05}" name="2048" dataDxfId="39">
      <calculatedColumnFormula>IFERROR(IF(OR($L5=0, $L5="", DATE(Veri2!BB$1, MONTH($L5), DAY($L5))&lt;=$L5, DATE(Veri2!BB$1, MONTH($L5), DAY($L5))&gt;TODAY()), "",
    IF((DATEDIF($L5, DATE(Veri2!BB$1, MONTH($L5), DAY($L5)), "y")+$BW5)&lt;1, 0,
        IF(OR(DATEDIF($M5, DATE(Veri2!BB$1, MONTH($L5), DAY($L5)), "y")&gt;=50, DATEDIF($M5, DATE(Veri2!BB$1, MONTH($L5), DAY($L5)), "y")&lt;=18),
            IF((DATEDIF($L5, DATE(Veri2!BB$1, MONTH($L5), DAY($L5)), "y")+$BW5)&gt;=15, 26, 20),
            IF((DATEDIF($L5, DATE(Veri2!BB$1, MONTH($L5), DAY($L5)), "y")+$BW5)&gt;=15, 26,
                IF((DATEDIF($L5, DATE(Veri2!BB$1, MONTH($L5), DAY($L5)), "y")+$BW5)&gt;5, 20, 14))
        )
    )
), "")</calculatedColumnFormula>
    </tableColumn>
    <tableColumn id="66" xr3:uid="{2B34F0B2-52EF-4DC9-9628-86EEF7A121A5}" name="2049" dataDxfId="38">
      <calculatedColumnFormula>IFERROR(IF(OR($L5=0, $L5="", DATE(Veri2!BC$1, MONTH($L5), DAY($L5))&lt;=$L5, DATE(Veri2!BC$1, MONTH($L5), DAY($L5))&gt;TODAY()), "",
    IF((DATEDIF($L5, DATE(Veri2!BC$1, MONTH($L5), DAY($L5)), "y")+$BW5)&lt;1, 0,
        IF(OR(DATEDIF($M5, DATE(Veri2!BC$1, MONTH($L5), DAY($L5)), "y")&gt;=50, DATEDIF($M5, DATE(Veri2!BC$1, MONTH($L5), DAY($L5)), "y")&lt;=18),
            IF((DATEDIF($L5, DATE(Veri2!BC$1, MONTH($L5), DAY($L5)), "y")+$BW5)&gt;=15, 26, 20),
            IF((DATEDIF($L5, DATE(Veri2!BC$1, MONTH($L5), DAY($L5)), "y")+$BW5)&gt;=15, 26,
                IF((DATEDIF($L5, DATE(Veri2!BC$1, MONTH($L5), DAY($L5)), "y")+$BW5)&gt;5, 20, 14))
        )
    )
), "")</calculatedColumnFormula>
    </tableColumn>
    <tableColumn id="67" xr3:uid="{F3A82184-A90C-45F0-A4FB-45A7F42DD746}" name="2050" dataDxfId="37">
      <calculatedColumnFormula>IFERROR(IF(OR($L5=0, $L5="", DATE(Veri2!BD$1, MONTH($L5), DAY($L5))&lt;=$L5, DATE(Veri2!BD$1, MONTH($L5), DAY($L5))&gt;TODAY()), "",
    IF((DATEDIF($L5, DATE(Veri2!BD$1, MONTH($L5), DAY($L5)), "y")+$BW5)&lt;1, 0,
        IF(OR(DATEDIF($M5, DATE(Veri2!BD$1, MONTH($L5), DAY($L5)), "y")&gt;=50, DATEDIF($M5, DATE(Veri2!BD$1, MONTH($L5), DAY($L5)), "y")&lt;=18),
            IF((DATEDIF($L5, DATE(Veri2!BD$1, MONTH($L5), DAY($L5)), "y")+$BW5)&gt;=15, 26, 20),
            IF((DATEDIF($L5, DATE(Veri2!BD$1, MONTH($L5), DAY($L5)), "y")+$BW5)&gt;=15, 26,
                IF((DATEDIF($L5, DATE(Veri2!BD$1, MONTH($L5), DAY($L5)), "y")+$BW5)&gt;5, 20, 14))
        )
    )
), "")</calculatedColumnFormula>
    </tableColumn>
    <tableColumn id="68" xr3:uid="{2ADD2B2A-B302-4C5A-8690-3F0E8CDBBB48}" name="Fasıla Yılı" dataDxfId="36"/>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70F43B-3DB5-44CE-A55A-D03E94880CE7}" name="tblPersonelIzinRaporu" displayName="tblPersonelIzinRaporu" ref="A1:E8" totalsRowShown="0" headerRowDxfId="35" dataDxfId="33" headerRowBorderDxfId="34" tableBorderDxfId="32" totalsRowBorderDxfId="31">
  <autoFilter ref="A1:E8" xr:uid="{9570F43B-3DB5-44CE-A55A-D03E94880CE7}"/>
  <tableColumns count="5">
    <tableColumn id="1" xr3:uid="{A5BADF71-EACC-4333-8969-0161E618D872}" name="Adı Soyadı" dataDxfId="30"/>
    <tableColumn id="2" xr3:uid="{029A2CEC-35B3-46A9-8806-6C439B59B1B9}" name="Birim" dataDxfId="29"/>
    <tableColumn id="3" xr3:uid="{2AFCFEF7-6F27-49F5-83D6-0C7EEEED2603}" name="İzin Başlama Tarihi" dataDxfId="28"/>
    <tableColumn id="4" xr3:uid="{9023DC07-44B1-4DF0-8E3C-4647E60B3586}" name="İzin Bitiş Tarihi" dataDxfId="27"/>
    <tableColumn id="5" xr3:uid="{C390BC4C-73A8-4EBD-B883-120416780DE9}" name="İzin Günü" dataDxfId="26"/>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14C6AF-D729-48F1-9875-59D6580AFB95}" name="tbl_resmi_tatiller" displayName="tbl_resmi_tatiller" ref="A1:C596" totalsRowShown="0" headerRowDxfId="25" dataDxfId="23" headerRowBorderDxfId="24" tableBorderDxfId="22" totalsRowBorderDxfId="21">
  <autoFilter ref="A1:C596" xr:uid="{0314C6AF-D729-48F1-9875-59D6580AFB95}"/>
  <sortState xmlns:xlrd2="http://schemas.microsoft.com/office/spreadsheetml/2017/richdata2" ref="A2:B175">
    <sortCondition ref="A4:A175"/>
  </sortState>
  <tableColumns count="3">
    <tableColumn id="1" xr3:uid="{83CF162A-AFED-42E0-8B23-B6E0B913CF25}" name="Tarih" dataDxfId="20"/>
    <tableColumn id="2" xr3:uid="{25900390-C2DB-42D0-BFD4-E476A05371FD}" name="Tatil Tanımı" dataDxfId="19"/>
    <tableColumn id="3" xr3:uid="{34E83574-0F10-4C11-BC47-FD241A30DC51}" name="Sütun1" dataDxfId="18"/>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74AB42-4C05-40FD-8ECC-AC27053D6724}" name="Tablo4" displayName="Tablo4" ref="H9:J18" totalsRowShown="0" headerRowDxfId="17" dataDxfId="15" headerRowBorderDxfId="16" tableBorderDxfId="14" totalsRowBorderDxfId="13">
  <autoFilter ref="H9:J18" xr:uid="{7574AB42-4C05-40FD-8ECC-AC27053D6724}"/>
  <tableColumns count="3">
    <tableColumn id="1" xr3:uid="{C3133130-B647-4F3A-A55D-3CD6C94996A9}" name="Yaş Aralığı" dataDxfId="12"/>
    <tableColumn id="2" xr3:uid="{FFE47BCF-AF24-4C7C-A30B-A6DB193EE52B}" name="Kıdem Aralığı" dataDxfId="11"/>
    <tableColumn id="3" xr3:uid="{BFC177FF-6E5B-4157-B341-994EB246B75F}" name="İzin Hakediş" dataDxfId="10"/>
  </tableColumns>
  <tableStyleInfo showFirstColumn="0" showLastColumn="0" showRowStripes="1" showColumnStripes="0"/>
</table>
</file>

<file path=xl/theme/theme1.xml><?xml version="1.0" encoding="utf-8"?>
<a:theme xmlns:a="http://schemas.openxmlformats.org/drawingml/2006/main" name="Office 2013 - 2022 Teması">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E34A0-4DAE-4774-BBBC-CE4F667CF52C}">
  <sheetPr codeName="Sayfa1">
    <tabColor rgb="FFFFC000"/>
  </sheetPr>
  <dimension ref="A1:CG43"/>
  <sheetViews>
    <sheetView tabSelected="1" zoomScale="110" zoomScaleNormal="110" workbookViewId="0">
      <selection activeCell="Y39" sqref="Y39"/>
    </sheetView>
  </sheetViews>
  <sheetFormatPr defaultColWidth="3.5703125" defaultRowHeight="15" x14ac:dyDescent="0.25"/>
  <cols>
    <col min="1" max="6" width="4.28515625" style="98" customWidth="1"/>
    <col min="7" max="7" width="3.5703125" style="99"/>
    <col min="8" max="30" width="3.5703125" style="99" customWidth="1"/>
    <col min="31" max="31" width="4.85546875" style="99" customWidth="1"/>
    <col min="32" max="33" width="3.5703125" style="99" customWidth="1"/>
    <col min="34" max="34" width="4.42578125" style="99" customWidth="1"/>
    <col min="35" max="35" width="0.140625" style="99" customWidth="1"/>
    <col min="36" max="36" width="12.28515625" style="99" customWidth="1"/>
    <col min="37" max="37" width="3.140625" style="99" customWidth="1"/>
    <col min="38" max="41" width="3.5703125" style="99" customWidth="1"/>
    <col min="42" max="42" width="4.5703125" style="99" customWidth="1"/>
    <col min="43" max="44" width="3.5703125" style="99" customWidth="1"/>
    <col min="45" max="45" width="4.28515625" style="99" customWidth="1"/>
    <col min="46" max="46" width="3.5703125" style="99" customWidth="1"/>
    <col min="47" max="47" width="4.42578125" style="99" customWidth="1"/>
    <col min="48" max="52" width="3.5703125" style="99" customWidth="1"/>
    <col min="53" max="53" width="3.5703125" style="99" hidden="1" customWidth="1"/>
    <col min="54" max="59" width="3.5703125" style="99" customWidth="1"/>
    <col min="60" max="61" width="3.5703125" style="99" hidden="1" customWidth="1"/>
    <col min="62" max="70" width="3.5703125" style="99" customWidth="1"/>
    <col min="71" max="71" width="10.7109375" style="99" customWidth="1"/>
    <col min="72" max="73" width="3.5703125" style="99" customWidth="1"/>
    <col min="74" max="16384" width="3.5703125" style="99"/>
  </cols>
  <sheetData>
    <row r="1" spans="8:85" x14ac:dyDescent="0.25">
      <c r="BK1" s="156" t="s">
        <v>2291</v>
      </c>
      <c r="BL1" s="156"/>
      <c r="BM1" s="156"/>
      <c r="BN1" s="156"/>
      <c r="BO1" s="156"/>
      <c r="BP1" s="156"/>
      <c r="BQ1" s="156"/>
      <c r="BR1" s="156"/>
      <c r="BS1" s="156"/>
      <c r="BT1" s="156"/>
      <c r="BU1" s="156"/>
      <c r="BV1" s="156"/>
      <c r="BW1" s="156"/>
      <c r="BX1" s="156"/>
      <c r="BY1" s="156"/>
      <c r="BZ1" s="156"/>
      <c r="CA1" s="156"/>
      <c r="CB1" s="156"/>
    </row>
    <row r="2" spans="8:85" x14ac:dyDescent="0.25">
      <c r="H2" s="183"/>
      <c r="I2" s="183"/>
      <c r="J2" s="98"/>
      <c r="K2" s="98"/>
      <c r="L2" s="98"/>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BS2" s="100"/>
    </row>
    <row r="3" spans="8:85" ht="14.45" customHeight="1" x14ac:dyDescent="0.9">
      <c r="H3" s="98"/>
      <c r="I3" s="101"/>
      <c r="J3" s="101"/>
      <c r="K3" s="101"/>
      <c r="L3" s="101"/>
      <c r="M3" s="101"/>
      <c r="N3" s="101"/>
      <c r="O3" s="101"/>
      <c r="P3" s="101"/>
      <c r="Q3" s="101"/>
      <c r="R3" s="101"/>
      <c r="S3" s="101"/>
      <c r="T3" s="101"/>
      <c r="U3" s="101"/>
      <c r="V3" s="101"/>
      <c r="W3" s="101"/>
      <c r="X3" s="101"/>
      <c r="Y3" s="101"/>
      <c r="Z3" s="101"/>
      <c r="AA3" s="101"/>
      <c r="AB3" s="98"/>
      <c r="AC3" s="98"/>
      <c r="AD3" s="98"/>
      <c r="AE3" s="98"/>
      <c r="AF3" s="98"/>
      <c r="AG3" s="98"/>
      <c r="AH3" s="98"/>
      <c r="AI3" s="98"/>
      <c r="AJ3" s="98"/>
      <c r="AK3" s="98"/>
      <c r="AL3" s="98"/>
      <c r="AM3" s="98"/>
      <c r="AN3" s="98"/>
      <c r="AO3" s="98"/>
      <c r="AP3" s="98"/>
      <c r="AQ3" s="98"/>
      <c r="AR3" s="98"/>
      <c r="AS3" s="98"/>
      <c r="AT3" s="98"/>
      <c r="AU3" s="98"/>
      <c r="AV3" s="98"/>
    </row>
    <row r="4" spans="8:85" ht="14.45" customHeight="1" thickBot="1" x14ac:dyDescent="0.95">
      <c r="H4" s="102"/>
      <c r="I4" s="101"/>
      <c r="J4" s="101"/>
      <c r="K4" s="101"/>
      <c r="L4" s="101"/>
      <c r="M4" s="101"/>
      <c r="N4" s="101"/>
      <c r="O4" s="101"/>
      <c r="P4" s="101"/>
      <c r="Q4" s="101"/>
      <c r="R4" s="101"/>
      <c r="S4" s="101"/>
      <c r="T4" s="101"/>
      <c r="U4" s="101"/>
      <c r="V4" s="101"/>
      <c r="W4" s="101"/>
      <c r="X4" s="101"/>
      <c r="Y4" s="101"/>
      <c r="Z4" s="101"/>
      <c r="AA4" s="101"/>
      <c r="AB4" s="103"/>
      <c r="AC4" s="103"/>
      <c r="AD4" s="103"/>
      <c r="AE4" s="103"/>
      <c r="AF4" s="103"/>
      <c r="AG4" s="103"/>
      <c r="AH4" s="103"/>
      <c r="AI4" s="103"/>
      <c r="AJ4" s="103"/>
      <c r="AK4" s="103"/>
      <c r="AL4" s="103"/>
      <c r="AM4" s="103"/>
      <c r="AN4" s="103"/>
      <c r="AO4" s="103"/>
      <c r="AP4" s="103"/>
      <c r="AQ4" s="103"/>
      <c r="AR4" s="103"/>
      <c r="AS4" s="103"/>
      <c r="AT4" s="103"/>
      <c r="AU4" s="103"/>
      <c r="AV4" s="103"/>
      <c r="AW4" s="104"/>
      <c r="AX4" s="104"/>
      <c r="AY4" s="104"/>
      <c r="AZ4" s="104"/>
      <c r="BA4" s="104"/>
      <c r="BB4" s="104"/>
      <c r="BC4" s="104"/>
      <c r="BD4" s="104"/>
      <c r="BE4" s="104"/>
      <c r="BF4" s="104"/>
      <c r="BG4" s="104"/>
      <c r="BH4" s="104"/>
      <c r="BI4" s="104"/>
      <c r="BJ4" s="104"/>
      <c r="BK4" s="104"/>
      <c r="BL4" s="104"/>
      <c r="BM4" s="104"/>
      <c r="BN4" s="104"/>
      <c r="BO4" s="104"/>
      <c r="BP4" s="104"/>
      <c r="BQ4" s="104"/>
      <c r="BR4" s="104"/>
      <c r="BS4" s="104"/>
      <c r="BT4" s="104"/>
      <c r="BU4" s="104"/>
      <c r="BV4" s="105"/>
      <c r="BW4" s="105"/>
      <c r="BX4" s="105"/>
      <c r="BY4" s="105"/>
      <c r="BZ4" s="105"/>
      <c r="CA4" s="105"/>
      <c r="CB4" s="105"/>
      <c r="CC4" s="105"/>
      <c r="CD4" s="105"/>
      <c r="CE4" s="105"/>
      <c r="CF4" s="105"/>
      <c r="CG4" s="105"/>
    </row>
    <row r="5" spans="8:85" ht="14.45" customHeight="1" x14ac:dyDescent="0.9">
      <c r="H5" s="106"/>
      <c r="I5" s="101"/>
      <c r="J5" s="101"/>
      <c r="K5" s="186" t="s">
        <v>195</v>
      </c>
      <c r="L5" s="187"/>
      <c r="M5" s="187"/>
      <c r="N5" s="187"/>
      <c r="O5" s="187"/>
      <c r="P5" s="187"/>
      <c r="Q5" s="187"/>
      <c r="R5" s="187"/>
      <c r="S5" s="187"/>
      <c r="T5" s="187"/>
      <c r="U5" s="187"/>
      <c r="V5" s="187"/>
      <c r="W5" s="187"/>
      <c r="X5" s="187"/>
      <c r="Y5" s="187"/>
      <c r="Z5" s="187"/>
      <c r="AA5" s="187"/>
      <c r="AB5" s="187"/>
      <c r="AC5" s="187"/>
      <c r="AD5" s="187"/>
      <c r="AE5" s="187"/>
      <c r="AF5" s="187"/>
      <c r="AG5" s="187"/>
      <c r="AH5" s="187"/>
      <c r="AI5" s="187"/>
      <c r="AJ5" s="187"/>
      <c r="AK5" s="187"/>
      <c r="AL5" s="187"/>
      <c r="AM5" s="187"/>
      <c r="AN5" s="187"/>
      <c r="AO5" s="187"/>
      <c r="AP5" s="187"/>
      <c r="AQ5" s="187"/>
      <c r="AR5" s="187"/>
      <c r="AS5" s="188"/>
      <c r="AT5" s="103"/>
      <c r="AU5" s="98"/>
      <c r="AV5" s="98"/>
      <c r="AW5" s="105"/>
      <c r="AX5" s="105"/>
      <c r="AY5" s="105"/>
      <c r="AZ5" s="105"/>
      <c r="BA5" s="105"/>
      <c r="BB5" s="105"/>
      <c r="BC5" s="105"/>
      <c r="BD5" s="105"/>
      <c r="BE5" s="105"/>
      <c r="BF5" s="105"/>
      <c r="BG5" s="105"/>
      <c r="BH5" s="105"/>
      <c r="BI5" s="105"/>
      <c r="BJ5" s="105"/>
      <c r="BK5" s="105"/>
      <c r="BL5" s="105"/>
      <c r="BM5" s="105"/>
      <c r="BN5" s="105"/>
      <c r="BO5" s="105"/>
      <c r="BP5" s="105"/>
      <c r="BQ5" s="105"/>
      <c r="BR5" s="105"/>
      <c r="BS5" s="105"/>
      <c r="BT5" s="105"/>
      <c r="BU5" s="105"/>
      <c r="BV5" s="105"/>
      <c r="BW5" s="105"/>
      <c r="BX5" s="105"/>
      <c r="BY5" s="105"/>
      <c r="BZ5" s="105"/>
      <c r="CA5" s="105"/>
      <c r="CB5" s="105"/>
      <c r="CC5" s="105"/>
      <c r="CD5" s="105"/>
      <c r="CE5" s="105"/>
      <c r="CF5" s="105"/>
      <c r="CG5" s="105"/>
    </row>
    <row r="6" spans="8:85" ht="14.45" customHeight="1" x14ac:dyDescent="0.9">
      <c r="H6" s="106"/>
      <c r="I6" s="101"/>
      <c r="J6" s="101"/>
      <c r="K6" s="189"/>
      <c r="L6" s="190"/>
      <c r="M6" s="190"/>
      <c r="N6" s="190"/>
      <c r="O6" s="190"/>
      <c r="P6" s="190"/>
      <c r="Q6" s="190"/>
      <c r="R6" s="190"/>
      <c r="S6" s="190"/>
      <c r="T6" s="190"/>
      <c r="U6" s="190"/>
      <c r="V6" s="190"/>
      <c r="W6" s="190"/>
      <c r="X6" s="190"/>
      <c r="Y6" s="190"/>
      <c r="Z6" s="190"/>
      <c r="AA6" s="190"/>
      <c r="AB6" s="190"/>
      <c r="AC6" s="190"/>
      <c r="AD6" s="190"/>
      <c r="AE6" s="190"/>
      <c r="AF6" s="190"/>
      <c r="AG6" s="190"/>
      <c r="AH6" s="190"/>
      <c r="AI6" s="190"/>
      <c r="AJ6" s="190"/>
      <c r="AK6" s="190"/>
      <c r="AL6" s="190"/>
      <c r="AM6" s="190"/>
      <c r="AN6" s="190"/>
      <c r="AO6" s="190"/>
      <c r="AP6" s="190"/>
      <c r="AQ6" s="190"/>
      <c r="AR6" s="190"/>
      <c r="AS6" s="191"/>
      <c r="AT6" s="103"/>
      <c r="AU6" s="98"/>
      <c r="AV6" s="98"/>
      <c r="AW6" s="105"/>
      <c r="AX6" s="105"/>
      <c r="AY6" s="105"/>
      <c r="AZ6" s="105"/>
      <c r="BA6" s="105"/>
      <c r="BB6" s="105"/>
      <c r="BC6" s="105"/>
      <c r="BD6" s="105"/>
      <c r="BE6" s="105"/>
      <c r="BF6" s="105"/>
      <c r="BG6" s="105"/>
      <c r="BH6" s="105"/>
      <c r="BI6" s="105"/>
      <c r="BJ6" s="105"/>
      <c r="BK6" s="105"/>
      <c r="BL6" s="105"/>
      <c r="BM6" s="105"/>
      <c r="BN6" s="105"/>
      <c r="BO6" s="105"/>
      <c r="BP6" s="105"/>
      <c r="BQ6" s="105"/>
      <c r="BR6" s="105"/>
      <c r="BS6" s="105"/>
      <c r="BT6" s="105"/>
      <c r="BU6" s="105"/>
      <c r="BV6" s="105"/>
      <c r="BW6" s="105"/>
      <c r="BX6" s="105"/>
      <c r="BY6" s="105"/>
      <c r="BZ6" s="105"/>
      <c r="CA6" s="105"/>
      <c r="CB6" s="105"/>
      <c r="CC6" s="105"/>
      <c r="CD6" s="105"/>
      <c r="CE6" s="105"/>
      <c r="CF6" s="105"/>
      <c r="CG6" s="105"/>
    </row>
    <row r="7" spans="8:85" ht="14.45" customHeight="1" x14ac:dyDescent="0.9">
      <c r="H7" s="106"/>
      <c r="I7" s="101"/>
      <c r="J7" s="101"/>
      <c r="K7" s="189"/>
      <c r="L7" s="190"/>
      <c r="M7" s="190"/>
      <c r="N7" s="190"/>
      <c r="O7" s="190"/>
      <c r="P7" s="190"/>
      <c r="Q7" s="190"/>
      <c r="R7" s="190"/>
      <c r="S7" s="190"/>
      <c r="T7" s="190"/>
      <c r="U7" s="190"/>
      <c r="V7" s="190"/>
      <c r="W7" s="190"/>
      <c r="X7" s="190"/>
      <c r="Y7" s="190"/>
      <c r="Z7" s="190"/>
      <c r="AA7" s="190"/>
      <c r="AB7" s="190"/>
      <c r="AC7" s="190"/>
      <c r="AD7" s="190"/>
      <c r="AE7" s="190"/>
      <c r="AF7" s="190"/>
      <c r="AG7" s="190"/>
      <c r="AH7" s="190"/>
      <c r="AI7" s="190"/>
      <c r="AJ7" s="190"/>
      <c r="AK7" s="190"/>
      <c r="AL7" s="190"/>
      <c r="AM7" s="190"/>
      <c r="AN7" s="190"/>
      <c r="AO7" s="190"/>
      <c r="AP7" s="190"/>
      <c r="AQ7" s="190"/>
      <c r="AR7" s="190"/>
      <c r="AS7" s="191"/>
      <c r="AT7" s="103"/>
      <c r="AU7" s="98"/>
      <c r="AV7" s="98"/>
      <c r="AW7" s="105"/>
      <c r="AX7" s="105"/>
      <c r="AY7" s="105"/>
      <c r="AZ7" s="105"/>
      <c r="BA7" s="105"/>
      <c r="BB7" s="105"/>
      <c r="BC7" s="105"/>
      <c r="BD7" s="105"/>
      <c r="BE7" s="105"/>
      <c r="BF7" s="105"/>
      <c r="BG7" s="105"/>
      <c r="BH7" s="105"/>
      <c r="BI7" s="105"/>
      <c r="BJ7" s="105"/>
      <c r="BK7" s="105"/>
      <c r="BL7" s="105"/>
      <c r="BM7" s="105"/>
      <c r="BN7" s="105"/>
      <c r="BO7" s="105"/>
      <c r="BP7" s="105"/>
      <c r="BQ7" s="105"/>
      <c r="BR7" s="105"/>
      <c r="BS7" s="105"/>
      <c r="BT7" s="105"/>
      <c r="BU7" s="105"/>
      <c r="BV7" s="105"/>
      <c r="BW7" s="105"/>
      <c r="BX7" s="105"/>
      <c r="BY7" s="105"/>
      <c r="BZ7" s="105"/>
      <c r="CA7" s="105"/>
      <c r="CB7" s="105"/>
      <c r="CC7" s="105"/>
      <c r="CD7" s="105"/>
      <c r="CE7" s="105"/>
      <c r="CF7" s="105"/>
      <c r="CG7" s="105"/>
    </row>
    <row r="8" spans="8:85" ht="14.45" customHeight="1" x14ac:dyDescent="0.9">
      <c r="H8" s="106"/>
      <c r="I8" s="101"/>
      <c r="J8" s="101"/>
      <c r="K8" s="189"/>
      <c r="L8" s="190"/>
      <c r="M8" s="190"/>
      <c r="N8" s="190"/>
      <c r="O8" s="190"/>
      <c r="P8" s="190"/>
      <c r="Q8" s="190"/>
      <c r="R8" s="190"/>
      <c r="S8" s="190"/>
      <c r="T8" s="190"/>
      <c r="U8" s="190"/>
      <c r="V8" s="190"/>
      <c r="W8" s="190"/>
      <c r="X8" s="190"/>
      <c r="Y8" s="190"/>
      <c r="Z8" s="190"/>
      <c r="AA8" s="190"/>
      <c r="AB8" s="190"/>
      <c r="AC8" s="190"/>
      <c r="AD8" s="190"/>
      <c r="AE8" s="190"/>
      <c r="AF8" s="190"/>
      <c r="AG8" s="190"/>
      <c r="AH8" s="190"/>
      <c r="AI8" s="190"/>
      <c r="AJ8" s="190"/>
      <c r="AK8" s="190"/>
      <c r="AL8" s="190"/>
      <c r="AM8" s="190"/>
      <c r="AN8" s="190"/>
      <c r="AO8" s="190"/>
      <c r="AP8" s="190"/>
      <c r="AQ8" s="190"/>
      <c r="AR8" s="190"/>
      <c r="AS8" s="191"/>
      <c r="AT8" s="103"/>
      <c r="AU8" s="98"/>
      <c r="AV8" s="98"/>
      <c r="AW8" s="105"/>
      <c r="AX8" s="105"/>
      <c r="AY8" s="105"/>
      <c r="AZ8" s="105"/>
      <c r="BA8" s="105"/>
      <c r="BB8" s="105"/>
      <c r="BC8" s="105"/>
      <c r="BD8" s="105"/>
      <c r="BE8" s="105"/>
      <c r="BF8" s="105"/>
      <c r="BG8" s="105"/>
      <c r="BH8" s="105"/>
      <c r="BI8" s="105"/>
      <c r="BJ8" s="105"/>
      <c r="BK8" s="105"/>
      <c r="BL8" s="105"/>
      <c r="BM8" s="105"/>
      <c r="BN8" s="105"/>
      <c r="BO8" s="105"/>
      <c r="BP8" s="105"/>
      <c r="BQ8" s="105"/>
      <c r="BR8" s="105"/>
      <c r="BS8" s="105"/>
      <c r="BT8" s="105"/>
      <c r="BU8" s="105"/>
      <c r="BV8" s="105"/>
      <c r="BW8" s="105"/>
      <c r="BX8" s="105"/>
      <c r="BY8" s="105"/>
      <c r="BZ8" s="105"/>
      <c r="CA8" s="105"/>
      <c r="CB8" s="105"/>
      <c r="CC8" s="105"/>
      <c r="CD8" s="105"/>
      <c r="CE8" s="105"/>
      <c r="CF8" s="105"/>
      <c r="CG8" s="105"/>
    </row>
    <row r="9" spans="8:85" ht="14.45" customHeight="1" x14ac:dyDescent="0.9">
      <c r="H9" s="106"/>
      <c r="I9" s="101"/>
      <c r="J9" s="101"/>
      <c r="K9" s="189"/>
      <c r="L9" s="190"/>
      <c r="M9" s="190"/>
      <c r="N9" s="190"/>
      <c r="O9" s="190"/>
      <c r="P9" s="190"/>
      <c r="Q9" s="190"/>
      <c r="R9" s="190"/>
      <c r="S9" s="190"/>
      <c r="T9" s="190"/>
      <c r="U9" s="190"/>
      <c r="V9" s="190"/>
      <c r="W9" s="190"/>
      <c r="X9" s="190"/>
      <c r="Y9" s="190"/>
      <c r="Z9" s="190"/>
      <c r="AA9" s="190"/>
      <c r="AB9" s="190"/>
      <c r="AC9" s="190"/>
      <c r="AD9" s="190"/>
      <c r="AE9" s="190"/>
      <c r="AF9" s="190"/>
      <c r="AG9" s="190"/>
      <c r="AH9" s="190"/>
      <c r="AI9" s="190"/>
      <c r="AJ9" s="190"/>
      <c r="AK9" s="190"/>
      <c r="AL9" s="190"/>
      <c r="AM9" s="190"/>
      <c r="AN9" s="190"/>
      <c r="AO9" s="190"/>
      <c r="AP9" s="190"/>
      <c r="AQ9" s="190"/>
      <c r="AR9" s="190"/>
      <c r="AS9" s="191"/>
      <c r="AT9" s="103"/>
      <c r="AU9" s="98"/>
      <c r="AV9" s="98"/>
      <c r="AW9" s="105"/>
      <c r="AX9" s="105"/>
      <c r="AY9" s="105"/>
      <c r="AZ9" s="105"/>
      <c r="BA9" s="105"/>
      <c r="BB9" s="105"/>
      <c r="BC9" s="105"/>
      <c r="BD9" s="105"/>
      <c r="BE9" s="105"/>
      <c r="BF9" s="105"/>
      <c r="BG9" s="105"/>
      <c r="BH9" s="105"/>
      <c r="BI9" s="105"/>
      <c r="BJ9" s="105"/>
      <c r="BK9" s="105"/>
      <c r="BL9" s="105"/>
      <c r="BM9" s="105"/>
      <c r="BN9" s="105"/>
      <c r="BO9" s="105"/>
      <c r="BP9" s="105"/>
      <c r="BQ9" s="105"/>
      <c r="BR9" s="105"/>
      <c r="BS9" s="105"/>
      <c r="BT9" s="105"/>
      <c r="BU9" s="105"/>
      <c r="BV9" s="105"/>
      <c r="BW9" s="105"/>
      <c r="BX9" s="105"/>
      <c r="BY9" s="105"/>
      <c r="BZ9" s="105"/>
      <c r="CA9" s="105"/>
      <c r="CB9" s="105"/>
      <c r="CC9" s="105"/>
      <c r="CD9" s="105"/>
      <c r="CE9" s="105"/>
      <c r="CF9" s="105"/>
      <c r="CG9" s="105"/>
    </row>
    <row r="10" spans="8:85" ht="14.45" customHeight="1" x14ac:dyDescent="0.9">
      <c r="H10" s="106"/>
      <c r="I10" s="101"/>
      <c r="J10" s="101"/>
      <c r="K10" s="189"/>
      <c r="L10" s="190"/>
      <c r="M10" s="190"/>
      <c r="N10" s="190"/>
      <c r="O10" s="190"/>
      <c r="P10" s="190"/>
      <c r="Q10" s="190"/>
      <c r="R10" s="190"/>
      <c r="S10" s="190"/>
      <c r="T10" s="190"/>
      <c r="U10" s="190"/>
      <c r="V10" s="190"/>
      <c r="W10" s="190"/>
      <c r="X10" s="190"/>
      <c r="Y10" s="190"/>
      <c r="Z10" s="190"/>
      <c r="AA10" s="190"/>
      <c r="AB10" s="190"/>
      <c r="AC10" s="190"/>
      <c r="AD10" s="190"/>
      <c r="AE10" s="190"/>
      <c r="AF10" s="190"/>
      <c r="AG10" s="190"/>
      <c r="AH10" s="190"/>
      <c r="AI10" s="190"/>
      <c r="AJ10" s="190"/>
      <c r="AK10" s="190"/>
      <c r="AL10" s="190"/>
      <c r="AM10" s="190"/>
      <c r="AN10" s="190"/>
      <c r="AO10" s="190"/>
      <c r="AP10" s="190"/>
      <c r="AQ10" s="190"/>
      <c r="AR10" s="190"/>
      <c r="AS10" s="191"/>
      <c r="AT10" s="103"/>
      <c r="AU10" s="98"/>
      <c r="AV10" s="98"/>
      <c r="AW10" s="105"/>
      <c r="AX10" s="105"/>
      <c r="AY10" s="105"/>
      <c r="AZ10" s="105"/>
      <c r="BA10" s="105"/>
      <c r="BB10" s="105"/>
      <c r="BC10" s="105"/>
      <c r="BD10" s="105"/>
      <c r="BE10" s="105"/>
      <c r="BF10" s="105"/>
      <c r="BG10" s="105"/>
      <c r="BH10" s="105"/>
      <c r="BI10" s="105"/>
      <c r="BJ10" s="105"/>
      <c r="BK10" s="105"/>
      <c r="BL10" s="105"/>
      <c r="BM10" s="105"/>
      <c r="BN10" s="105"/>
      <c r="BO10" s="105"/>
      <c r="BP10" s="105"/>
      <c r="BQ10" s="105"/>
      <c r="BR10" s="105"/>
      <c r="BS10" s="105"/>
      <c r="BT10" s="105"/>
      <c r="BU10" s="105"/>
      <c r="BV10" s="105"/>
      <c r="BW10" s="105"/>
      <c r="BX10" s="105"/>
      <c r="BY10" s="105"/>
      <c r="BZ10" s="105"/>
      <c r="CA10" s="105"/>
      <c r="CB10" s="105"/>
      <c r="CC10" s="105"/>
      <c r="CD10" s="105"/>
      <c r="CE10" s="105"/>
      <c r="CF10" s="105"/>
      <c r="CG10" s="105"/>
    </row>
    <row r="11" spans="8:85" ht="14.45" customHeight="1" x14ac:dyDescent="0.9">
      <c r="H11" s="106"/>
      <c r="I11" s="101"/>
      <c r="J11" s="101"/>
      <c r="K11" s="189"/>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1"/>
      <c r="AT11" s="103"/>
      <c r="AU11" s="98"/>
      <c r="AV11" s="98"/>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row>
    <row r="12" spans="8:85" ht="14.45" customHeight="1" thickBot="1" x14ac:dyDescent="0.3">
      <c r="H12" s="106"/>
      <c r="I12" s="107"/>
      <c r="J12" s="107"/>
      <c r="K12" s="189"/>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1"/>
      <c r="AT12" s="103"/>
      <c r="AU12" s="98"/>
      <c r="AV12" s="98"/>
      <c r="AW12" s="105"/>
      <c r="AX12" s="105"/>
      <c r="AY12" s="105"/>
      <c r="AZ12" s="105"/>
      <c r="BA12" s="105"/>
      <c r="BB12" s="105"/>
      <c r="BC12" s="105"/>
      <c r="BD12" s="105"/>
      <c r="BE12" s="105"/>
      <c r="BF12" s="105"/>
      <c r="BG12" s="105"/>
      <c r="BH12" s="105"/>
      <c r="BI12" s="105"/>
      <c r="BJ12" s="105"/>
      <c r="BK12" s="105"/>
      <c r="BL12" s="105"/>
      <c r="BM12" s="105"/>
      <c r="BN12" s="105"/>
      <c r="BO12" s="105"/>
      <c r="BP12" s="105"/>
      <c r="BQ12" s="105"/>
      <c r="BR12" s="105"/>
      <c r="BS12" s="105"/>
      <c r="BT12" s="105"/>
      <c r="BU12" s="105"/>
      <c r="BV12" s="105"/>
      <c r="BW12" s="105"/>
      <c r="BX12" s="105"/>
      <c r="BY12" s="105"/>
      <c r="BZ12" s="105"/>
      <c r="CA12" s="105"/>
      <c r="CB12" s="105"/>
      <c r="CC12" s="105"/>
      <c r="CD12" s="105"/>
      <c r="CE12" s="105"/>
      <c r="CF12" s="105"/>
      <c r="CG12" s="105"/>
    </row>
    <row r="13" spans="8:85" ht="14.45" customHeight="1" x14ac:dyDescent="0.9">
      <c r="H13" s="98"/>
      <c r="I13" s="101"/>
      <c r="J13" s="101"/>
      <c r="K13" s="108"/>
      <c r="L13" s="108"/>
      <c r="M13" s="108"/>
      <c r="N13" s="108"/>
      <c r="O13" s="108"/>
      <c r="P13" s="108"/>
      <c r="Q13" s="108"/>
      <c r="R13" s="108"/>
      <c r="S13" s="108"/>
      <c r="T13" s="108"/>
      <c r="U13" s="108"/>
      <c r="V13" s="108"/>
      <c r="W13" s="108"/>
      <c r="X13" s="108"/>
      <c r="Y13" s="108"/>
      <c r="Z13" s="108"/>
      <c r="AA13" s="108"/>
      <c r="AB13" s="108"/>
      <c r="AC13" s="108"/>
      <c r="AD13" s="108"/>
      <c r="AE13" s="108"/>
      <c r="AF13" s="108"/>
      <c r="AG13" s="108"/>
      <c r="AH13" s="108"/>
      <c r="AI13" s="108"/>
      <c r="AJ13" s="108"/>
      <c r="AK13" s="108"/>
      <c r="AL13" s="108"/>
      <c r="AM13" s="108"/>
      <c r="AN13" s="108"/>
      <c r="AO13" s="108"/>
      <c r="AP13" s="108"/>
      <c r="AQ13" s="108"/>
      <c r="AR13" s="108"/>
      <c r="AS13" s="108"/>
      <c r="AT13" s="103"/>
      <c r="AU13" s="98"/>
      <c r="AV13" s="98"/>
      <c r="AW13" s="105"/>
      <c r="AX13" s="105"/>
      <c r="AY13" s="105"/>
      <c r="AZ13" s="105"/>
      <c r="BA13" s="105"/>
      <c r="BB13" s="105"/>
      <c r="BC13" s="105"/>
      <c r="BD13" s="105"/>
      <c r="BE13" s="105"/>
      <c r="BF13" s="105"/>
      <c r="BG13" s="105"/>
      <c r="BH13" s="105"/>
      <c r="BI13" s="105"/>
      <c r="BJ13" s="105"/>
      <c r="BK13" s="105"/>
      <c r="BL13" s="105"/>
      <c r="BM13" s="105"/>
      <c r="BN13" s="105"/>
      <c r="BO13" s="105"/>
      <c r="BP13" s="105"/>
      <c r="BQ13" s="105"/>
      <c r="BR13" s="105"/>
      <c r="BS13" s="105"/>
      <c r="BT13" s="105"/>
      <c r="BU13" s="105"/>
      <c r="BV13" s="105"/>
      <c r="BW13" s="105"/>
      <c r="BX13" s="105"/>
      <c r="BY13" s="105"/>
      <c r="BZ13" s="105"/>
      <c r="CA13" s="105"/>
      <c r="CB13" s="105"/>
      <c r="CC13" s="105"/>
      <c r="CD13" s="105"/>
      <c r="CE13" s="105"/>
      <c r="CF13" s="105"/>
      <c r="CG13" s="105"/>
    </row>
    <row r="14" spans="8:85" ht="14.45" customHeight="1" x14ac:dyDescent="0.9">
      <c r="H14" s="98"/>
      <c r="I14" s="101"/>
      <c r="J14" s="101"/>
      <c r="K14" s="101"/>
      <c r="L14" s="101"/>
      <c r="M14" s="101"/>
      <c r="N14" s="101"/>
      <c r="O14" s="101"/>
      <c r="P14" s="192"/>
      <c r="Q14" s="192"/>
      <c r="R14" s="192"/>
      <c r="S14" s="192"/>
      <c r="T14" s="192"/>
      <c r="U14" s="101"/>
      <c r="V14" s="101"/>
      <c r="W14" s="101"/>
      <c r="X14" s="101"/>
      <c r="Y14" s="101"/>
      <c r="Z14" s="101"/>
      <c r="AA14" s="101"/>
      <c r="AB14" s="101"/>
      <c r="AC14" s="101"/>
      <c r="AD14" s="101"/>
      <c r="AE14" s="101"/>
      <c r="AF14" s="101"/>
      <c r="AG14" s="101"/>
      <c r="AH14" s="101"/>
      <c r="AI14" s="98"/>
      <c r="AJ14" s="98"/>
      <c r="AK14" s="101"/>
      <c r="AL14" s="101"/>
      <c r="AM14" s="101"/>
      <c r="AN14" s="101"/>
      <c r="AO14" s="101"/>
      <c r="AP14" s="101"/>
      <c r="AQ14" s="101"/>
      <c r="AR14" s="101"/>
      <c r="AS14" s="109"/>
      <c r="AT14" s="109"/>
      <c r="AU14" s="101"/>
      <c r="AV14" s="98"/>
      <c r="AW14" s="105"/>
      <c r="AX14" s="105"/>
      <c r="AY14" s="105"/>
      <c r="AZ14" s="105"/>
      <c r="BA14" s="105"/>
      <c r="BB14" s="105"/>
      <c r="BC14" s="105"/>
      <c r="BD14" s="105"/>
      <c r="BE14" s="105"/>
      <c r="BF14" s="105"/>
      <c r="BG14" s="105"/>
      <c r="BH14" s="105"/>
      <c r="BI14" s="105"/>
      <c r="BJ14" s="105"/>
      <c r="BK14" s="105"/>
      <c r="BL14" s="105"/>
      <c r="BM14" s="105"/>
      <c r="BN14" s="105"/>
      <c r="BO14" s="105"/>
      <c r="BP14" s="105"/>
      <c r="BQ14" s="105"/>
      <c r="BR14" s="105"/>
      <c r="BS14" s="105"/>
      <c r="BT14" s="105"/>
      <c r="BU14" s="105"/>
      <c r="BV14" s="105"/>
      <c r="BW14" s="105"/>
      <c r="BX14" s="105"/>
      <c r="BY14" s="105"/>
      <c r="BZ14" s="105"/>
      <c r="CA14" s="105"/>
      <c r="CB14" s="105"/>
      <c r="CC14" s="105"/>
      <c r="CD14" s="105"/>
      <c r="CE14" s="105"/>
      <c r="CF14" s="105"/>
      <c r="CG14" s="105"/>
    </row>
    <row r="15" spans="8:85" ht="14.45" customHeight="1" x14ac:dyDescent="0.9">
      <c r="H15" s="98"/>
      <c r="I15" s="101"/>
      <c r="J15" s="101"/>
      <c r="K15" s="101"/>
      <c r="L15" s="101"/>
      <c r="M15" s="101"/>
      <c r="N15" s="101"/>
      <c r="O15" s="101"/>
      <c r="P15" s="193"/>
      <c r="Q15" s="193"/>
      <c r="R15" s="193"/>
      <c r="S15" s="193"/>
      <c r="T15" s="193"/>
      <c r="U15" s="101"/>
      <c r="V15" s="101"/>
      <c r="W15" s="101"/>
      <c r="X15" s="101"/>
      <c r="Y15" s="101"/>
      <c r="Z15" s="101"/>
      <c r="AA15" s="101"/>
      <c r="AB15" s="101"/>
      <c r="AC15" s="101"/>
      <c r="AD15" s="101"/>
      <c r="AE15" s="101"/>
      <c r="AF15" s="101"/>
      <c r="AG15" s="101"/>
      <c r="AH15" s="101"/>
      <c r="AI15" s="98"/>
      <c r="AJ15" s="98"/>
      <c r="AK15" s="110"/>
      <c r="AL15" s="101"/>
      <c r="AM15" s="101"/>
      <c r="AN15" s="110"/>
      <c r="AO15" s="101"/>
      <c r="AP15" s="101"/>
      <c r="AQ15" s="110"/>
      <c r="AR15" s="101"/>
      <c r="AS15" s="109"/>
      <c r="AT15" s="111"/>
      <c r="AU15" s="101"/>
      <c r="AV15" s="98"/>
      <c r="AW15" s="105"/>
      <c r="AX15" s="105"/>
      <c r="AY15" s="105"/>
      <c r="AZ15" s="105"/>
      <c r="BA15" s="105"/>
      <c r="BB15" s="105"/>
      <c r="BC15" s="105"/>
      <c r="BD15" s="105"/>
      <c r="BE15" s="105"/>
      <c r="BF15" s="105"/>
      <c r="BG15" s="105"/>
      <c r="BH15" s="105"/>
      <c r="BI15" s="105"/>
      <c r="BJ15" s="105"/>
      <c r="BK15" s="105"/>
      <c r="BL15" s="105"/>
      <c r="BM15" s="105"/>
      <c r="BN15" s="105"/>
      <c r="BO15" s="105"/>
      <c r="BP15" s="105"/>
      <c r="BQ15" s="105"/>
      <c r="BR15" s="105"/>
      <c r="BS15" s="105"/>
      <c r="BT15" s="105"/>
      <c r="BU15" s="105"/>
      <c r="BV15" s="105"/>
      <c r="BW15" s="105"/>
      <c r="BX15" s="105"/>
      <c r="BY15" s="105"/>
      <c r="BZ15" s="105"/>
      <c r="CA15" s="105"/>
      <c r="CB15" s="105"/>
      <c r="CC15" s="105"/>
      <c r="CD15" s="105"/>
      <c r="CE15" s="105"/>
      <c r="CF15" s="105"/>
      <c r="CG15" s="105"/>
    </row>
    <row r="16" spans="8:85" ht="14.45" customHeight="1" x14ac:dyDescent="0.9">
      <c r="H16" s="98"/>
      <c r="I16" s="101"/>
      <c r="J16" s="101"/>
      <c r="K16" s="101"/>
      <c r="L16" s="112"/>
      <c r="M16" s="112"/>
      <c r="N16" s="112"/>
      <c r="O16" s="112"/>
      <c r="P16" s="140" t="s">
        <v>196</v>
      </c>
      <c r="Q16" s="140"/>
      <c r="R16" s="140"/>
      <c r="S16" s="140"/>
      <c r="T16" s="140"/>
      <c r="U16" s="200" t="s">
        <v>232</v>
      </c>
      <c r="V16" s="200"/>
      <c r="W16" s="200"/>
      <c r="X16" s="200"/>
      <c r="Y16" s="200"/>
      <c r="Z16" s="101"/>
      <c r="AA16" s="101"/>
      <c r="AB16" s="101"/>
      <c r="AC16" s="101"/>
      <c r="AD16" s="101"/>
      <c r="AE16" s="101"/>
      <c r="AF16" s="101"/>
      <c r="AG16" s="101"/>
      <c r="AH16" s="101"/>
      <c r="AI16" s="98"/>
      <c r="AJ16" s="98"/>
      <c r="AK16" s="101"/>
      <c r="AL16" s="101"/>
      <c r="AM16" s="101"/>
      <c r="AN16" s="101"/>
      <c r="AO16" s="101"/>
      <c r="AP16" s="101"/>
      <c r="AQ16" s="101"/>
      <c r="AR16" s="101"/>
      <c r="AS16" s="109"/>
      <c r="AT16" s="109"/>
      <c r="AU16" s="101"/>
      <c r="AV16" s="98"/>
      <c r="AW16" s="105"/>
      <c r="AX16" s="105"/>
      <c r="AY16" s="105"/>
      <c r="AZ16" s="105"/>
      <c r="BA16" s="105"/>
      <c r="BB16" s="105"/>
      <c r="BC16" s="105"/>
      <c r="BD16" s="105"/>
      <c r="BE16" s="105"/>
      <c r="BF16" s="105"/>
      <c r="BG16" s="105"/>
      <c r="BH16" s="105"/>
      <c r="BI16" s="105"/>
      <c r="BJ16" s="105"/>
      <c r="BK16" s="105"/>
      <c r="BL16" s="105"/>
      <c r="BM16" s="105"/>
      <c r="BN16" s="105"/>
      <c r="BO16" s="105"/>
      <c r="BP16" s="105"/>
      <c r="BQ16" s="105"/>
      <c r="BR16" s="105"/>
      <c r="BS16" s="105"/>
      <c r="BT16" s="105"/>
      <c r="BU16" s="105"/>
      <c r="BV16" s="105"/>
      <c r="BW16" s="105"/>
      <c r="BX16" s="105"/>
      <c r="BY16" s="105"/>
      <c r="BZ16" s="105"/>
      <c r="CA16" s="105"/>
      <c r="CB16" s="105"/>
      <c r="CC16" s="105"/>
      <c r="CD16" s="105"/>
      <c r="CE16" s="105"/>
      <c r="CF16" s="105"/>
      <c r="CG16" s="105"/>
    </row>
    <row r="17" spans="8:85" ht="14.45" customHeight="1" x14ac:dyDescent="0.9">
      <c r="H17" s="98"/>
      <c r="I17" s="101"/>
      <c r="J17" s="101"/>
      <c r="K17" s="101"/>
      <c r="L17" s="112"/>
      <c r="M17" s="112"/>
      <c r="N17" s="112"/>
      <c r="O17" s="112"/>
      <c r="P17" s="140"/>
      <c r="Q17" s="140"/>
      <c r="R17" s="140"/>
      <c r="S17" s="140"/>
      <c r="T17" s="140"/>
      <c r="U17" s="200"/>
      <c r="V17" s="200"/>
      <c r="W17" s="200"/>
      <c r="X17" s="200"/>
      <c r="Y17" s="200"/>
      <c r="Z17" s="101"/>
      <c r="AA17" s="110"/>
      <c r="AB17" s="110"/>
      <c r="AC17" s="110"/>
      <c r="AD17" s="110"/>
      <c r="AE17" s="110"/>
      <c r="AF17" s="101"/>
      <c r="AG17" s="101"/>
      <c r="AH17" s="101"/>
      <c r="AI17" s="98"/>
      <c r="AJ17" s="98"/>
      <c r="AK17" s="110"/>
      <c r="AL17" s="101"/>
      <c r="AM17" s="101"/>
      <c r="AN17" s="110"/>
      <c r="AO17" s="101"/>
      <c r="AP17" s="101"/>
      <c r="AQ17" s="110"/>
      <c r="AR17" s="160" t="s">
        <v>286</v>
      </c>
      <c r="AS17" s="160"/>
      <c r="AT17" s="160"/>
      <c r="AU17" s="160"/>
      <c r="AV17" s="98"/>
      <c r="AW17" s="105"/>
      <c r="AX17" s="105"/>
      <c r="AY17" s="105"/>
      <c r="AZ17" s="105"/>
      <c r="BA17" s="105"/>
      <c r="BB17" s="105"/>
      <c r="BC17" s="105"/>
      <c r="BD17" s="105"/>
      <c r="BE17" s="105"/>
      <c r="BF17" s="105"/>
      <c r="BG17" s="105"/>
      <c r="BH17" s="105"/>
      <c r="BI17" s="105"/>
      <c r="BJ17" s="105"/>
      <c r="BK17" s="105"/>
      <c r="BL17" s="105"/>
      <c r="BM17" s="105"/>
      <c r="BN17" s="105"/>
      <c r="BO17" s="105"/>
      <c r="BP17" s="105"/>
      <c r="BQ17" s="105"/>
      <c r="BR17" s="105"/>
      <c r="BS17" s="105"/>
      <c r="BT17" s="105"/>
      <c r="BU17" s="105"/>
      <c r="BV17" s="105"/>
      <c r="BW17" s="105"/>
      <c r="BX17" s="105"/>
      <c r="BY17" s="105"/>
      <c r="BZ17" s="105"/>
      <c r="CA17" s="105"/>
      <c r="CB17" s="105"/>
      <c r="CC17" s="105"/>
      <c r="CD17" s="105"/>
      <c r="CE17" s="105"/>
      <c r="CF17" s="105"/>
      <c r="CG17" s="105"/>
    </row>
    <row r="18" spans="8:85" ht="18" customHeight="1" x14ac:dyDescent="0.9">
      <c r="H18" s="98"/>
      <c r="I18" s="101"/>
      <c r="J18" s="101"/>
      <c r="K18" s="101"/>
      <c r="L18" s="112"/>
      <c r="M18" s="112"/>
      <c r="N18" s="112"/>
      <c r="O18" s="112"/>
      <c r="P18" s="197" t="s">
        <v>2</v>
      </c>
      <c r="Q18" s="198"/>
      <c r="R18" s="198"/>
      <c r="S18" s="198"/>
      <c r="T18" s="199"/>
      <c r="U18" s="194">
        <f>VLOOKUP(U16,Personel!I4:R8,2,0)</f>
        <v>6280</v>
      </c>
      <c r="V18" s="195"/>
      <c r="W18" s="195"/>
      <c r="X18" s="195"/>
      <c r="Y18" s="196"/>
      <c r="Z18" s="172">
        <f ca="1">_xlfn.XLOOKUP(U18, Personel!H:H, Personel!G:G, "Bulunamadı", 0)</f>
        <v>13508878460</v>
      </c>
      <c r="AA18" s="173"/>
      <c r="AB18" s="173"/>
      <c r="AC18" s="173"/>
      <c r="AD18" s="110"/>
      <c r="AE18" s="110"/>
      <c r="AF18" s="101"/>
      <c r="AG18" s="101"/>
      <c r="AH18" s="101"/>
      <c r="AI18" s="98"/>
      <c r="AJ18" s="98"/>
      <c r="AK18" s="103"/>
      <c r="AL18" s="103"/>
      <c r="AM18" s="103"/>
      <c r="AN18" s="103"/>
      <c r="AO18" s="103"/>
      <c r="AP18" s="103"/>
      <c r="AQ18" s="103"/>
      <c r="AR18" s="160"/>
      <c r="AS18" s="160"/>
      <c r="AT18" s="160"/>
      <c r="AU18" s="160"/>
      <c r="AV18" s="98"/>
      <c r="AW18" s="105"/>
      <c r="AX18" s="105"/>
      <c r="AY18" s="105"/>
      <c r="AZ18" s="105"/>
      <c r="BA18" s="105"/>
      <c r="BB18" s="105"/>
      <c r="BC18" s="105"/>
      <c r="BD18" s="105"/>
      <c r="BE18" s="105"/>
      <c r="BF18" s="105"/>
      <c r="BG18" s="105"/>
      <c r="BH18" s="105"/>
      <c r="BI18" s="105"/>
      <c r="BJ18" s="105"/>
      <c r="BK18" s="105"/>
      <c r="BL18" s="105"/>
      <c r="BM18" s="105"/>
      <c r="BN18" s="105"/>
      <c r="BO18" s="105"/>
      <c r="BP18" s="105"/>
      <c r="BQ18" s="105"/>
      <c r="BR18" s="105"/>
      <c r="BS18" s="105"/>
      <c r="BT18" s="105"/>
      <c r="BU18" s="105"/>
      <c r="BV18" s="105"/>
      <c r="BW18" s="105"/>
      <c r="BX18" s="105"/>
      <c r="BY18" s="105"/>
      <c r="BZ18" s="105"/>
      <c r="CA18" s="105"/>
      <c r="CB18" s="105"/>
      <c r="CC18" s="105"/>
      <c r="CD18" s="105"/>
      <c r="CE18" s="105"/>
      <c r="CF18" s="105"/>
      <c r="CG18" s="105"/>
    </row>
    <row r="19" spans="8:85" ht="27.75" customHeight="1" x14ac:dyDescent="0.9">
      <c r="H19" s="98"/>
      <c r="I19" s="101"/>
      <c r="J19" s="101"/>
      <c r="K19" s="101"/>
      <c r="L19" s="112"/>
      <c r="M19" s="112"/>
      <c r="N19" s="112"/>
      <c r="O19" s="112"/>
      <c r="P19" s="197" t="s">
        <v>285</v>
      </c>
      <c r="Q19" s="198"/>
      <c r="R19" s="198"/>
      <c r="S19" s="198"/>
      <c r="T19" s="199"/>
      <c r="U19" s="161" t="str">
        <f ca="1">_xlfn.XLOOKUP(U18, Personel!H:H, Personel!K:K, "Bulunamadı")</f>
        <v>MODEL DİKİM</v>
      </c>
      <c r="V19" s="162"/>
      <c r="W19" s="162"/>
      <c r="X19" s="162"/>
      <c r="Y19" s="163"/>
      <c r="Z19" s="113"/>
      <c r="AA19" s="114"/>
      <c r="AB19" s="110"/>
      <c r="AC19" s="110"/>
      <c r="AD19" s="110"/>
      <c r="AE19" s="110"/>
      <c r="AF19" s="101"/>
      <c r="AG19" s="101"/>
      <c r="AH19" s="101"/>
      <c r="AI19" s="98"/>
      <c r="AJ19" s="98"/>
      <c r="AK19" s="103"/>
      <c r="AL19" s="103"/>
      <c r="AM19" s="103"/>
      <c r="AN19" s="103"/>
      <c r="AO19" s="103"/>
      <c r="AP19" s="103"/>
      <c r="AQ19" s="103"/>
      <c r="AR19" s="103"/>
      <c r="AS19" s="103"/>
      <c r="AT19" s="103"/>
      <c r="AU19" s="98"/>
      <c r="AV19" s="98"/>
      <c r="AW19" s="105"/>
      <c r="AX19" s="105"/>
      <c r="AY19" s="105"/>
      <c r="AZ19" s="105"/>
      <c r="BA19" s="105"/>
      <c r="BB19" s="105"/>
      <c r="BC19" s="105"/>
      <c r="BD19" s="105"/>
      <c r="BE19" s="105"/>
      <c r="BF19" s="105"/>
      <c r="BG19" s="105"/>
      <c r="BH19" s="105"/>
      <c r="BI19" s="105"/>
      <c r="BJ19" s="105"/>
      <c r="BK19" s="105"/>
      <c r="BL19" s="105"/>
      <c r="BM19" s="105"/>
      <c r="BN19" s="105"/>
      <c r="BO19" s="105"/>
      <c r="BP19" s="105"/>
      <c r="BQ19" s="105"/>
      <c r="BR19" s="105"/>
      <c r="BS19" s="105"/>
      <c r="BT19" s="105"/>
      <c r="BU19" s="105"/>
      <c r="BV19" s="105"/>
      <c r="BW19" s="105"/>
      <c r="BX19" s="105"/>
      <c r="BY19" s="105"/>
      <c r="BZ19" s="105"/>
      <c r="CA19" s="105"/>
      <c r="CB19" s="105"/>
      <c r="CC19" s="105"/>
      <c r="CD19" s="105"/>
      <c r="CE19" s="105"/>
      <c r="CF19" s="105"/>
      <c r="CG19" s="105"/>
    </row>
    <row r="20" spans="8:85" ht="14.45" customHeight="1" thickBot="1" x14ac:dyDescent="0.95">
      <c r="H20" s="98"/>
      <c r="I20" s="101"/>
      <c r="J20" s="101"/>
      <c r="K20" s="101"/>
      <c r="L20" s="112"/>
      <c r="M20" s="112"/>
      <c r="N20" s="112"/>
      <c r="O20" s="112"/>
      <c r="P20" s="202" t="s">
        <v>4</v>
      </c>
      <c r="Q20" s="203"/>
      <c r="R20" s="203"/>
      <c r="S20" s="203"/>
      <c r="T20" s="204"/>
      <c r="U20" s="174">
        <f>VLOOKUP(U16,Personel!I4:R8,4,0)</f>
        <v>44830</v>
      </c>
      <c r="V20" s="175"/>
      <c r="W20" s="175"/>
      <c r="X20" s="175"/>
      <c r="Y20" s="176"/>
      <c r="Z20" s="101"/>
      <c r="AA20" s="110"/>
      <c r="AB20" s="201" t="s">
        <v>246</v>
      </c>
      <c r="AC20" s="201"/>
      <c r="AD20" s="201"/>
      <c r="AE20" s="201"/>
      <c r="AF20" s="180">
        <v>46239</v>
      </c>
      <c r="AG20" s="180"/>
      <c r="AH20" s="180"/>
      <c r="AI20" s="180"/>
      <c r="AJ20" s="182" t="str">
        <f>TEXT(AF20,"gggg")</f>
        <v>Çarşamba</v>
      </c>
      <c r="AK20" s="98"/>
      <c r="AL20" s="143" t="s">
        <v>243</v>
      </c>
      <c r="AM20" s="144"/>
      <c r="AN20" s="144"/>
      <c r="AO20" s="144"/>
      <c r="AP20" s="145"/>
      <c r="AQ20" s="164" t="str">
        <f ca="1">IFERROR(IF(VLOOKUP(U18,Personel!H:BW,68,FALSE)&lt;&gt;0,"VAR","YOK"),"YOK")</f>
        <v>YOK</v>
      </c>
      <c r="AR20" s="165"/>
      <c r="AS20" s="165"/>
      <c r="AT20" s="165"/>
      <c r="AU20" s="166"/>
      <c r="AV20" s="103"/>
      <c r="AW20" s="105"/>
      <c r="AX20" s="105"/>
      <c r="AY20" s="105"/>
      <c r="AZ20" s="105"/>
      <c r="BA20" s="105"/>
      <c r="BB20" s="105"/>
      <c r="BC20" s="105"/>
      <c r="BD20" s="105"/>
      <c r="BE20" s="105"/>
      <c r="BF20" s="105"/>
      <c r="BG20" s="105"/>
      <c r="BH20" s="105"/>
      <c r="BI20" s="105"/>
      <c r="BJ20" s="105"/>
      <c r="BK20" s="105"/>
      <c r="BL20" s="105"/>
      <c r="BM20" s="105"/>
      <c r="BN20" s="105"/>
      <c r="BO20" s="105"/>
      <c r="BP20" s="105"/>
      <c r="BQ20" s="105"/>
      <c r="BR20" s="105"/>
      <c r="BS20" s="105"/>
      <c r="BT20" s="105"/>
      <c r="BU20" s="105"/>
      <c r="BV20" s="105"/>
      <c r="BW20" s="105"/>
      <c r="BX20" s="105"/>
      <c r="BY20" s="105"/>
      <c r="BZ20" s="105"/>
      <c r="CA20" s="105"/>
      <c r="CB20" s="105"/>
      <c r="CC20" s="105"/>
      <c r="CD20" s="105"/>
      <c r="CE20" s="105"/>
      <c r="CF20" s="105"/>
      <c r="CG20" s="105"/>
    </row>
    <row r="21" spans="8:85" ht="14.45" customHeight="1" thickBot="1" x14ac:dyDescent="0.95">
      <c r="H21" s="98"/>
      <c r="I21" s="101"/>
      <c r="J21" s="101"/>
      <c r="K21" s="101"/>
      <c r="L21" s="112"/>
      <c r="M21" s="112"/>
      <c r="N21" s="112"/>
      <c r="O21" s="112"/>
      <c r="P21" s="205"/>
      <c r="Q21" s="206"/>
      <c r="R21" s="206"/>
      <c r="S21" s="206"/>
      <c r="T21" s="207"/>
      <c r="U21" s="177"/>
      <c r="V21" s="178"/>
      <c r="W21" s="178"/>
      <c r="X21" s="178"/>
      <c r="Y21" s="179"/>
      <c r="Z21" s="101"/>
      <c r="AA21" s="110"/>
      <c r="AB21" s="201"/>
      <c r="AC21" s="201"/>
      <c r="AD21" s="201"/>
      <c r="AE21" s="201"/>
      <c r="AF21" s="181"/>
      <c r="AG21" s="181"/>
      <c r="AH21" s="181"/>
      <c r="AI21" s="181"/>
      <c r="AJ21" s="182"/>
      <c r="AK21" s="98"/>
      <c r="AL21" s="146"/>
      <c r="AM21" s="147"/>
      <c r="AN21" s="147"/>
      <c r="AO21" s="147"/>
      <c r="AP21" s="148"/>
      <c r="AQ21" s="167"/>
      <c r="AR21" s="168"/>
      <c r="AS21" s="168"/>
      <c r="AT21" s="168"/>
      <c r="AU21" s="169"/>
      <c r="AV21" s="103"/>
      <c r="AW21" s="105"/>
      <c r="AX21" s="105"/>
      <c r="AY21" s="105"/>
      <c r="AZ21" s="105"/>
      <c r="BA21" s="105"/>
      <c r="BB21" s="105"/>
      <c r="BC21" s="105"/>
      <c r="BD21" s="105"/>
      <c r="BE21" s="105"/>
      <c r="BF21" s="105"/>
      <c r="BG21" s="105"/>
      <c r="BH21" s="105"/>
      <c r="BI21" s="105"/>
      <c r="BJ21" s="105"/>
      <c r="BK21" s="105"/>
      <c r="BL21" s="105"/>
      <c r="BM21" s="105"/>
      <c r="BN21" s="105"/>
      <c r="BO21" s="105"/>
      <c r="BP21" s="105"/>
      <c r="BQ21" s="105"/>
      <c r="BR21" s="105"/>
      <c r="BS21" s="105"/>
      <c r="BT21" s="105"/>
      <c r="BU21" s="105"/>
      <c r="BV21" s="105"/>
      <c r="BW21" s="105"/>
      <c r="BX21" s="105"/>
      <c r="BY21" s="105"/>
      <c r="BZ21" s="105"/>
      <c r="CA21" s="105"/>
      <c r="CB21" s="105"/>
      <c r="CC21" s="105"/>
      <c r="CD21" s="105"/>
      <c r="CE21" s="105"/>
      <c r="CF21" s="105"/>
      <c r="CG21" s="105"/>
    </row>
    <row r="22" spans="8:85" ht="14.45" customHeight="1" thickBot="1" x14ac:dyDescent="0.95">
      <c r="H22" s="98"/>
      <c r="I22" s="101"/>
      <c r="J22" s="101"/>
      <c r="K22" s="101"/>
      <c r="L22" s="112"/>
      <c r="M22" s="112"/>
      <c r="N22" s="112"/>
      <c r="O22" s="112"/>
      <c r="P22" s="202" t="s">
        <v>242</v>
      </c>
      <c r="Q22" s="203"/>
      <c r="R22" s="203"/>
      <c r="S22" s="203"/>
      <c r="T22" s="204"/>
      <c r="U22" s="149">
        <f ca="1">IF(DATEDIF(U20,TODAY(),"y")&lt;1, DATE(YEAR(U20)+1,MONTH(U20),DAY(U20)), IF(U28&lt;=10, DATE(YEAR(U20)+DATEDIF(U20,TODAY(),"y"),MONTH(U20),DAY(U20)), IF(DATE(YEAR(TODAY()),MONTH(U20),DAY(U20))&lt;TODAY(), DATE(YEAR(TODAY())+1,MONTH(U20),DAY(U20)), DATE(YEAR(TODAY()),MONTH(U20),DAY(U20)))))</f>
        <v>45926</v>
      </c>
      <c r="V22" s="150"/>
      <c r="W22" s="150"/>
      <c r="X22" s="150"/>
      <c r="Y22" s="151"/>
      <c r="Z22" s="101"/>
      <c r="AA22" s="110"/>
      <c r="AB22" s="201" t="s">
        <v>247</v>
      </c>
      <c r="AC22" s="201"/>
      <c r="AD22" s="201"/>
      <c r="AE22" s="201"/>
      <c r="AF22" s="181">
        <v>46252</v>
      </c>
      <c r="AG22" s="181"/>
      <c r="AH22" s="181"/>
      <c r="AI22" s="181"/>
      <c r="AJ22" s="182" t="str">
        <f>TEXT(AF22,"gggg")</f>
        <v>Salı</v>
      </c>
      <c r="AK22" s="98"/>
      <c r="AL22" s="143" t="s">
        <v>244</v>
      </c>
      <c r="AM22" s="144"/>
      <c r="AN22" s="144"/>
      <c r="AO22" s="144"/>
      <c r="AP22" s="145"/>
      <c r="AQ22" s="164">
        <f ca="1">SUMIF(Personel!H:I,U18,Personel!BW:BW)</f>
        <v>0</v>
      </c>
      <c r="AR22" s="165"/>
      <c r="AS22" s="165"/>
      <c r="AT22" s="165"/>
      <c r="AU22" s="166"/>
      <c r="AV22" s="103"/>
      <c r="AW22" s="105"/>
      <c r="AX22" s="105"/>
      <c r="AY22" s="105"/>
      <c r="AZ22" s="105"/>
      <c r="BA22" s="105"/>
      <c r="BB22" s="105"/>
      <c r="BC22" s="105"/>
      <c r="BD22" s="105"/>
      <c r="BE22" s="105"/>
      <c r="BF22" s="105"/>
      <c r="BG22" s="105"/>
      <c r="BH22" s="105"/>
      <c r="BI22" s="105"/>
      <c r="BJ22" s="105"/>
      <c r="BK22" s="105"/>
      <c r="BL22" s="105"/>
      <c r="BM22" s="105"/>
      <c r="BN22" s="105"/>
      <c r="BO22" s="105"/>
      <c r="BP22" s="105"/>
      <c r="BQ22" s="105"/>
      <c r="BR22" s="105"/>
      <c r="BS22" s="105"/>
      <c r="BT22" s="105"/>
      <c r="BU22" s="105"/>
      <c r="BV22" s="105"/>
      <c r="BW22" s="105"/>
      <c r="BX22" s="105"/>
      <c r="BY22" s="105"/>
      <c r="BZ22" s="105"/>
      <c r="CA22" s="105"/>
      <c r="CB22" s="105"/>
      <c r="CC22" s="105"/>
      <c r="CD22" s="105"/>
      <c r="CE22" s="105"/>
      <c r="CF22" s="105"/>
      <c r="CG22" s="105"/>
    </row>
    <row r="23" spans="8:85" ht="14.45" customHeight="1" x14ac:dyDescent="0.9">
      <c r="H23" s="98"/>
      <c r="I23" s="101"/>
      <c r="J23" s="101"/>
      <c r="K23" s="101"/>
      <c r="L23" s="112"/>
      <c r="M23" s="112"/>
      <c r="N23" s="112"/>
      <c r="O23" s="112"/>
      <c r="P23" s="205"/>
      <c r="Q23" s="206"/>
      <c r="R23" s="206"/>
      <c r="S23" s="206"/>
      <c r="T23" s="207"/>
      <c r="U23" s="152"/>
      <c r="V23" s="153"/>
      <c r="W23" s="153"/>
      <c r="X23" s="153"/>
      <c r="Y23" s="154"/>
      <c r="Z23" s="101"/>
      <c r="AA23" s="110"/>
      <c r="AB23" s="201"/>
      <c r="AC23" s="201"/>
      <c r="AD23" s="201"/>
      <c r="AE23" s="201"/>
      <c r="AF23" s="185"/>
      <c r="AG23" s="185"/>
      <c r="AH23" s="185"/>
      <c r="AI23" s="185"/>
      <c r="AJ23" s="182"/>
      <c r="AK23" s="98"/>
      <c r="AL23" s="146"/>
      <c r="AM23" s="147"/>
      <c r="AN23" s="147"/>
      <c r="AO23" s="147"/>
      <c r="AP23" s="148"/>
      <c r="AQ23" s="167"/>
      <c r="AR23" s="168"/>
      <c r="AS23" s="168"/>
      <c r="AT23" s="168"/>
      <c r="AU23" s="169"/>
      <c r="AV23" s="103"/>
      <c r="AW23" s="105"/>
      <c r="AX23" s="105"/>
      <c r="AY23" s="105"/>
      <c r="AZ23" s="105"/>
      <c r="BA23" s="105"/>
      <c r="BB23" s="105"/>
      <c r="BC23" s="105"/>
      <c r="BD23" s="105"/>
      <c r="BE23" s="105"/>
      <c r="BF23" s="105"/>
      <c r="BG23" s="105"/>
      <c r="BH23" s="105"/>
      <c r="BI23" s="105"/>
      <c r="BJ23" s="105"/>
      <c r="BK23" s="105"/>
      <c r="BL23" s="105"/>
      <c r="BM23" s="105"/>
      <c r="BN23" s="105"/>
      <c r="BO23" s="105"/>
      <c r="BP23" s="105"/>
      <c r="BQ23" s="105"/>
      <c r="BR23" s="105"/>
      <c r="BS23" s="105"/>
      <c r="BT23" s="105"/>
      <c r="BU23" s="105"/>
      <c r="BV23" s="105"/>
      <c r="BW23" s="105"/>
      <c r="BX23" s="105"/>
      <c r="BY23" s="105"/>
      <c r="BZ23" s="105"/>
      <c r="CA23" s="105"/>
      <c r="CB23" s="105"/>
      <c r="CC23" s="105"/>
      <c r="CD23" s="105"/>
      <c r="CE23" s="105"/>
      <c r="CF23" s="105"/>
      <c r="CG23" s="105"/>
    </row>
    <row r="24" spans="8:85" ht="14.45" customHeight="1" x14ac:dyDescent="0.9">
      <c r="H24" s="98"/>
      <c r="I24" s="101"/>
      <c r="J24" s="101"/>
      <c r="K24" s="101"/>
      <c r="L24" s="112"/>
      <c r="M24" s="112"/>
      <c r="N24" s="112"/>
      <c r="O24" s="112"/>
      <c r="P24" s="140" t="s">
        <v>8</v>
      </c>
      <c r="Q24" s="140"/>
      <c r="R24" s="140"/>
      <c r="S24" s="140"/>
      <c r="T24" s="140"/>
      <c r="U24" s="141">
        <f ca="1">VLOOKUP(U16,Personel!I4:R8,8,0)</f>
        <v>42</v>
      </c>
      <c r="V24" s="170"/>
      <c r="W24" s="170"/>
      <c r="X24" s="170"/>
      <c r="Y24" s="170"/>
      <c r="Z24" s="101"/>
      <c r="AA24" s="101"/>
      <c r="AB24" s="101"/>
      <c r="AC24" s="101"/>
      <c r="AD24" s="101"/>
      <c r="AE24" s="101"/>
      <c r="AF24" s="101"/>
      <c r="AG24" s="101"/>
      <c r="AH24" s="101"/>
      <c r="AI24" s="98"/>
      <c r="AJ24" s="98"/>
      <c r="AK24" s="115"/>
      <c r="AL24" s="115"/>
      <c r="AM24" s="115"/>
      <c r="AN24" s="115"/>
      <c r="AO24" s="115"/>
      <c r="AP24" s="115"/>
      <c r="AQ24" s="115"/>
      <c r="AR24" s="115"/>
      <c r="AS24" s="115"/>
      <c r="AT24" s="115"/>
      <c r="AU24" s="98"/>
      <c r="AV24" s="98"/>
    </row>
    <row r="25" spans="8:85" ht="14.45" customHeight="1" x14ac:dyDescent="0.9">
      <c r="H25" s="98"/>
      <c r="I25" s="101"/>
      <c r="J25" s="101"/>
      <c r="K25" s="101"/>
      <c r="L25" s="112"/>
      <c r="M25" s="112"/>
      <c r="N25" s="112"/>
      <c r="O25" s="112"/>
      <c r="P25" s="140"/>
      <c r="Q25" s="140"/>
      <c r="R25" s="140"/>
      <c r="S25" s="140"/>
      <c r="T25" s="140"/>
      <c r="U25" s="170"/>
      <c r="V25" s="170"/>
      <c r="W25" s="170"/>
      <c r="X25" s="170"/>
      <c r="Y25" s="170"/>
      <c r="Z25" s="101"/>
      <c r="AA25" s="101"/>
      <c r="AB25" s="184" cm="1">
        <f t="array" ref="AB25">NETWORKDAYS.INTL(AF20,AF22,1) - SUMPRODUCT((Tatiller!$A$2:$A$100&gt;=AF20)*(Tatiller!$A$2:$A$100&lt;=AF22)*(WEEKDAY(Tatiller!$A$2:$A$100,2)&lt;6)*(Tatiller!$C$2:$C$100))</f>
        <v>10</v>
      </c>
      <c r="AC25" s="184"/>
      <c r="AD25" s="101"/>
      <c r="AE25" s="101"/>
      <c r="AF25" s="101"/>
      <c r="AG25" s="101"/>
      <c r="AH25" s="101"/>
      <c r="AI25" s="98"/>
      <c r="AJ25" s="98"/>
      <c r="AK25" s="115"/>
      <c r="AL25" s="115"/>
      <c r="AM25" s="115"/>
      <c r="AN25" s="155" t="str">
        <f ca="1">IF(U18="", "", IF(SUMIFS('İzin Giriş'!$L:$L, 'İzin Giriş'!$H:$H, $U$18, 'İzin Giriş'!$J:$J, "&gt;="&amp;DATE(YEAR(TODAY()),1,1), 'İzin Giriş'!$J:$J, "&lt;="&amp;DATE(YEAR(TODAY()),12,31)) &lt; 10, "Yıllık izin kullanımı 10 günün altındadır", "Yıllık izin kullanımı uygundur"))</f>
        <v>Yıllık izin kullanımı 10 günün altındadır</v>
      </c>
      <c r="AO25" s="155"/>
      <c r="AP25" s="155"/>
      <c r="AQ25" s="155"/>
      <c r="AR25" s="155"/>
      <c r="AS25" s="155"/>
      <c r="AT25" s="155"/>
      <c r="AU25" s="155"/>
      <c r="AV25" s="98"/>
    </row>
    <row r="26" spans="8:85" ht="61.5" x14ac:dyDescent="0.9">
      <c r="H26" s="98"/>
      <c r="I26" s="98"/>
      <c r="J26" s="98"/>
      <c r="K26" s="98"/>
      <c r="L26" s="112"/>
      <c r="M26" s="112"/>
      <c r="N26" s="112"/>
      <c r="O26" s="112"/>
      <c r="P26" s="140" t="s">
        <v>9</v>
      </c>
      <c r="Q26" s="140"/>
      <c r="R26" s="140"/>
      <c r="S26" s="140"/>
      <c r="T26" s="140"/>
      <c r="U26" s="141">
        <f>VLOOKUP(U16,Personel!I4:R8,9,0)</f>
        <v>51</v>
      </c>
      <c r="V26" s="142"/>
      <c r="W26" s="142"/>
      <c r="X26" s="142"/>
      <c r="Y26" s="142"/>
      <c r="Z26" s="98"/>
      <c r="AA26" s="98"/>
      <c r="AB26" s="101"/>
      <c r="AC26" s="101"/>
      <c r="AD26" s="101"/>
      <c r="AE26" s="101"/>
      <c r="AF26" s="101"/>
      <c r="AG26" s="101"/>
      <c r="AH26" s="101"/>
      <c r="AI26" s="98"/>
      <c r="AJ26" s="98"/>
      <c r="AK26" s="98"/>
      <c r="AL26" s="98"/>
      <c r="AM26" s="98"/>
      <c r="AN26" s="98"/>
      <c r="AO26" s="98"/>
      <c r="AP26" s="98"/>
      <c r="AQ26" s="98"/>
      <c r="AR26" s="98"/>
      <c r="AS26" s="98"/>
      <c r="AT26" s="98"/>
      <c r="AU26" s="98"/>
      <c r="AV26" s="98"/>
    </row>
    <row r="27" spans="8:85" ht="15.75" x14ac:dyDescent="0.25">
      <c r="H27" s="98"/>
      <c r="I27" s="98"/>
      <c r="J27" s="98"/>
      <c r="K27" s="98"/>
      <c r="L27" s="112"/>
      <c r="M27" s="112"/>
      <c r="N27" s="112"/>
      <c r="O27" s="112"/>
      <c r="P27" s="140"/>
      <c r="Q27" s="140"/>
      <c r="R27" s="140"/>
      <c r="S27" s="140"/>
      <c r="T27" s="140"/>
      <c r="U27" s="142"/>
      <c r="V27" s="142"/>
      <c r="W27" s="142"/>
      <c r="X27" s="142"/>
      <c r="Y27" s="142"/>
      <c r="Z27" s="98"/>
      <c r="AA27" s="98"/>
      <c r="AB27" s="98"/>
      <c r="AC27" s="98"/>
      <c r="AD27" s="98"/>
      <c r="AE27" s="98"/>
      <c r="AF27" s="98"/>
      <c r="AG27" s="98"/>
      <c r="AH27" s="98"/>
      <c r="AI27" s="98"/>
      <c r="AJ27" s="98"/>
      <c r="AK27" s="98"/>
      <c r="AL27" s="98"/>
      <c r="AM27" s="98"/>
      <c r="AN27" s="98"/>
      <c r="AO27" s="98"/>
      <c r="AP27" s="98"/>
      <c r="AQ27" s="98"/>
      <c r="AR27" s="98"/>
      <c r="AS27" s="98"/>
      <c r="AT27" s="98"/>
      <c r="AU27" s="98"/>
      <c r="AV27" s="98"/>
    </row>
    <row r="28" spans="8:85" ht="15.75" x14ac:dyDescent="0.25">
      <c r="H28" s="98"/>
      <c r="I28" s="98"/>
      <c r="J28" s="98"/>
      <c r="K28" s="98"/>
      <c r="L28" s="112"/>
      <c r="M28" s="112"/>
      <c r="N28" s="112"/>
      <c r="O28" s="112"/>
      <c r="P28" s="140" t="s">
        <v>10</v>
      </c>
      <c r="Q28" s="140"/>
      <c r="R28" s="140"/>
      <c r="S28" s="140"/>
      <c r="T28" s="140"/>
      <c r="U28" s="157">
        <f ca="1">VLOOKUP(U16,Personel!I4:R8,10,0)</f>
        <v>-9</v>
      </c>
      <c r="V28" s="158"/>
      <c r="W28" s="158"/>
      <c r="X28" s="158"/>
      <c r="Y28" s="158"/>
      <c r="Z28" s="98"/>
      <c r="AA28" s="98"/>
      <c r="AB28" s="98"/>
      <c r="AC28" s="98"/>
      <c r="AD28" s="98"/>
      <c r="AE28" s="98"/>
      <c r="AF28" s="98"/>
      <c r="AG28" s="98"/>
      <c r="AH28" s="98"/>
      <c r="AI28" s="98"/>
      <c r="AJ28" s="98"/>
      <c r="AK28" s="98"/>
      <c r="AL28" s="98"/>
      <c r="AM28" s="98"/>
      <c r="AN28" s="98"/>
      <c r="AO28" s="98"/>
      <c r="AP28" s="98"/>
      <c r="AQ28" s="98"/>
      <c r="AR28" s="98"/>
      <c r="AS28" s="98"/>
      <c r="AT28" s="98"/>
      <c r="AU28" s="98"/>
      <c r="AV28" s="98"/>
    </row>
    <row r="29" spans="8:85" ht="15.75" x14ac:dyDescent="0.25">
      <c r="H29" s="98"/>
      <c r="I29" s="98"/>
      <c r="J29" s="98"/>
      <c r="K29" s="98"/>
      <c r="L29" s="112"/>
      <c r="M29" s="112"/>
      <c r="N29" s="112"/>
      <c r="O29" s="112"/>
      <c r="P29" s="140"/>
      <c r="Q29" s="140"/>
      <c r="R29" s="140"/>
      <c r="S29" s="140"/>
      <c r="T29" s="140"/>
      <c r="U29" s="158"/>
      <c r="V29" s="158"/>
      <c r="W29" s="158"/>
      <c r="X29" s="158"/>
      <c r="Y29" s="158"/>
      <c r="Z29" s="98"/>
      <c r="AA29" s="98"/>
      <c r="AB29" s="98"/>
      <c r="AC29" s="98"/>
      <c r="AD29" s="98"/>
      <c r="AE29" s="98"/>
      <c r="AF29" s="98"/>
      <c r="AG29" s="171" t="s">
        <v>2249</v>
      </c>
      <c r="AH29" s="171"/>
      <c r="AI29" s="171"/>
      <c r="AJ29" s="171"/>
      <c r="AK29" s="171"/>
      <c r="AL29" s="171"/>
      <c r="AM29" s="171"/>
      <c r="AN29" s="171"/>
      <c r="AO29" s="171"/>
      <c r="AP29" s="98"/>
      <c r="AQ29" s="159" t="str">
        <f ca="1">IF(AND(AF20&lt;&gt;"", AF22&lt;&gt;"", AB25&gt;U28), "MUVAFAKATNAME DOLDURULMALI", "")</f>
        <v>MUVAFAKATNAME DOLDURULMALI</v>
      </c>
      <c r="AR29" s="159"/>
      <c r="AS29" s="159"/>
      <c r="AT29" s="159"/>
      <c r="AU29" s="159"/>
      <c r="AV29" s="98"/>
    </row>
    <row r="30" spans="8:85" x14ac:dyDescent="0.25">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171"/>
      <c r="AH30" s="171"/>
      <c r="AI30" s="171"/>
      <c r="AJ30" s="171"/>
      <c r="AK30" s="171"/>
      <c r="AL30" s="171"/>
      <c r="AM30" s="171"/>
      <c r="AN30" s="171"/>
      <c r="AO30" s="171"/>
      <c r="AP30" s="98"/>
      <c r="AQ30" s="159"/>
      <c r="AR30" s="159"/>
      <c r="AS30" s="159"/>
      <c r="AT30" s="159"/>
      <c r="AU30" s="159"/>
      <c r="AV30" s="98"/>
    </row>
    <row r="31" spans="8:85" ht="15" customHeight="1" x14ac:dyDescent="0.25">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c r="AF31" s="116"/>
      <c r="AG31" s="116"/>
      <c r="AH31" s="116"/>
      <c r="AI31" s="116"/>
      <c r="AJ31" s="116"/>
      <c r="AK31" s="116"/>
      <c r="AL31" s="116"/>
      <c r="AM31" s="116"/>
      <c r="AN31" s="116"/>
      <c r="AO31" s="116"/>
      <c r="AP31" s="116"/>
      <c r="AQ31" s="116"/>
      <c r="AR31" s="116"/>
      <c r="AS31" s="116"/>
      <c r="AT31" s="116"/>
      <c r="AU31" s="116"/>
      <c r="AV31" s="116"/>
    </row>
    <row r="32" spans="8:85" ht="15" customHeight="1" x14ac:dyDescent="0.25"/>
    <row r="33" ht="14.45" customHeight="1" x14ac:dyDescent="0.25"/>
    <row r="34" ht="14.45" customHeight="1" x14ac:dyDescent="0.25"/>
    <row r="35" ht="14.45" customHeight="1" x14ac:dyDescent="0.25"/>
    <row r="36" ht="14.45" customHeight="1" x14ac:dyDescent="0.25"/>
    <row r="37" ht="14.45" customHeight="1" x14ac:dyDescent="0.25"/>
    <row r="38" ht="14.45" customHeight="1" x14ac:dyDescent="0.25"/>
    <row r="39" ht="14.45" customHeight="1" x14ac:dyDescent="0.25"/>
    <row r="40" ht="14.45" customHeight="1" x14ac:dyDescent="0.25"/>
    <row r="41" ht="14.45" customHeight="1" x14ac:dyDescent="0.25"/>
    <row r="42" ht="15" customHeight="1" x14ac:dyDescent="0.25"/>
    <row r="43" ht="15" customHeight="1" x14ac:dyDescent="0.25"/>
  </sheetData>
  <mergeCells count="36">
    <mergeCell ref="H2:I2"/>
    <mergeCell ref="AL20:AP21"/>
    <mergeCell ref="AB25:AC25"/>
    <mergeCell ref="AF22:AI23"/>
    <mergeCell ref="K5:AS12"/>
    <mergeCell ref="P14:T15"/>
    <mergeCell ref="U18:Y18"/>
    <mergeCell ref="P18:T18"/>
    <mergeCell ref="P16:T17"/>
    <mergeCell ref="U16:Y17"/>
    <mergeCell ref="P19:T19"/>
    <mergeCell ref="P24:T25"/>
    <mergeCell ref="AB22:AE23"/>
    <mergeCell ref="AB20:AE21"/>
    <mergeCell ref="P20:T21"/>
    <mergeCell ref="P22:T23"/>
    <mergeCell ref="BK1:CB1"/>
    <mergeCell ref="U28:Y29"/>
    <mergeCell ref="AQ29:AU30"/>
    <mergeCell ref="AR17:AU18"/>
    <mergeCell ref="U19:Y19"/>
    <mergeCell ref="AQ20:AU21"/>
    <mergeCell ref="U24:Y25"/>
    <mergeCell ref="AQ22:AU23"/>
    <mergeCell ref="AG29:AO30"/>
    <mergeCell ref="Z18:AC18"/>
    <mergeCell ref="U20:Y21"/>
    <mergeCell ref="AF20:AI21"/>
    <mergeCell ref="AJ20:AJ21"/>
    <mergeCell ref="AJ22:AJ23"/>
    <mergeCell ref="P26:T27"/>
    <mergeCell ref="U26:Y27"/>
    <mergeCell ref="AL22:AP23"/>
    <mergeCell ref="U22:Y23"/>
    <mergeCell ref="P28:T29"/>
    <mergeCell ref="AN25:AU25"/>
  </mergeCells>
  <conditionalFormatting sqref="U28">
    <cfRule type="cellIs" dxfId="9" priority="16" operator="lessThan">
      <formula>0</formula>
    </cfRule>
  </conditionalFormatting>
  <conditionalFormatting sqref="AJ20:AJ21">
    <cfRule type="expression" dxfId="8" priority="4">
      <formula>WEEKDAY(AF20,2)&gt;5</formula>
    </cfRule>
  </conditionalFormatting>
  <conditionalFormatting sqref="AJ22:AJ23">
    <cfRule type="expression" dxfId="7" priority="3">
      <formula>WEEKDAY(AF22,2)&gt;5</formula>
    </cfRule>
  </conditionalFormatting>
  <conditionalFormatting sqref="AN25:AU25">
    <cfRule type="cellIs" dxfId="6" priority="1" operator="equal">
      <formula>"Yıllık izin kullanımı uygundur"</formula>
    </cfRule>
    <cfRule type="cellIs" dxfId="5" priority="2" operator="equal">
      <formula>"Yıllık izin kullanımı 10 günün altındadır"</formula>
    </cfRule>
  </conditionalFormatting>
  <dataValidations count="1">
    <dataValidation type="list" allowBlank="1" showInputMessage="1" showErrorMessage="1" sqref="U16" xr:uid="{ADF9E30C-884C-45E4-8B30-8951D3882F80}">
      <formula1>İsim</formula1>
    </dataValidation>
  </dataValidation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3FAD7-BB42-46AC-B6F0-B1719D432A92}">
  <sheetPr codeName="Sayfa3">
    <tabColor rgb="FF00B050"/>
    <pageSetUpPr fitToPage="1"/>
  </sheetPr>
  <dimension ref="A1:M86"/>
  <sheetViews>
    <sheetView topLeftCell="A4" zoomScale="110" zoomScaleNormal="110" workbookViewId="0">
      <pane ySplit="1" topLeftCell="A5" activePane="bottomLeft" state="frozen"/>
      <selection activeCell="A4" sqref="A4"/>
      <selection pane="bottomLeft" activeCell="A87" sqref="A87:XFD4608"/>
    </sheetView>
  </sheetViews>
  <sheetFormatPr defaultColWidth="3.5703125" defaultRowHeight="15" x14ac:dyDescent="0.25"/>
  <cols>
    <col min="1" max="6" width="4.28515625" style="2" customWidth="1"/>
    <col min="7" max="7" width="8.5703125" style="1" customWidth="1"/>
    <col min="8" max="8" width="12.140625" style="1" bestFit="1" customWidth="1"/>
    <col min="9" max="9" width="22.42578125" style="1" customWidth="1"/>
    <col min="10" max="10" width="21" style="1" bestFit="1" customWidth="1"/>
    <col min="11" max="11" width="17.42578125" style="1" bestFit="1" customWidth="1"/>
    <col min="12" max="12" width="19.140625" style="1" customWidth="1"/>
    <col min="13" max="13" width="25.5703125" style="117" customWidth="1"/>
    <col min="14" max="17" width="3.5703125" style="1" customWidth="1"/>
    <col min="18" max="18" width="3.5703125" style="1"/>
    <col min="19" max="19" width="3.5703125" style="1" customWidth="1"/>
    <col min="20" max="16384" width="3.5703125" style="1"/>
  </cols>
  <sheetData>
    <row r="1" spans="8:13" hidden="1" x14ac:dyDescent="0.25">
      <c r="M1" s="1"/>
    </row>
    <row r="2" spans="8:13" hidden="1" x14ac:dyDescent="0.25">
      <c r="H2" s="208"/>
      <c r="I2" s="208"/>
      <c r="M2" s="1"/>
    </row>
    <row r="3" spans="8:13" hidden="1" x14ac:dyDescent="0.25">
      <c r="M3" s="1"/>
    </row>
    <row r="4" spans="8:13" ht="25.5" customHeight="1" x14ac:dyDescent="0.25">
      <c r="H4" s="16" t="s">
        <v>2</v>
      </c>
      <c r="I4" s="31" t="s">
        <v>3</v>
      </c>
      <c r="J4" s="31" t="s">
        <v>11</v>
      </c>
      <c r="K4" s="31" t="s">
        <v>12</v>
      </c>
      <c r="L4" s="47" t="s">
        <v>13</v>
      </c>
      <c r="M4" s="31" t="s">
        <v>256</v>
      </c>
    </row>
    <row r="5" spans="8:13" x14ac:dyDescent="0.25">
      <c r="H5" s="28">
        <v>6280</v>
      </c>
      <c r="I5" s="37" t="s">
        <v>232</v>
      </c>
      <c r="J5" s="96">
        <v>45103</v>
      </c>
      <c r="K5" s="96">
        <v>45104</v>
      </c>
      <c r="L5" s="45">
        <v>2</v>
      </c>
      <c r="M5" s="120" t="str">
        <f>IF(H5="","",IF(COUNTIFS($H$4:$H$5217,H5,$J$4:$J$5217,"&lt;="&amp;K5,$K$4:$K$5217,"&gt;="&amp;J5)&gt;1,"TARİH ÇAKIŞMASI",""))</f>
        <v/>
      </c>
    </row>
    <row r="6" spans="8:13" x14ac:dyDescent="0.25">
      <c r="H6" s="28">
        <v>6280</v>
      </c>
      <c r="I6" s="37" t="s">
        <v>232</v>
      </c>
      <c r="J6" s="96">
        <v>45166</v>
      </c>
      <c r="K6" s="96">
        <v>45181</v>
      </c>
      <c r="L6" s="45">
        <v>12</v>
      </c>
      <c r="M6" s="120" t="str">
        <f>IF(H6="","",IF(COUNTIFS($H$4:$H$5217,H6,$J$4:$J$5217,"&lt;="&amp;K6,$K$4:$K$5217,"&gt;="&amp;J6)&gt;1,"TARİH ÇAKIŞMASI",""))</f>
        <v/>
      </c>
    </row>
    <row r="7" spans="8:13" x14ac:dyDescent="0.25">
      <c r="H7" s="29">
        <v>6280</v>
      </c>
      <c r="I7" s="33" t="s">
        <v>232</v>
      </c>
      <c r="J7" s="96">
        <v>45341</v>
      </c>
      <c r="K7" s="96">
        <v>45346</v>
      </c>
      <c r="L7" s="46">
        <v>6</v>
      </c>
      <c r="M7" s="120" t="str">
        <f>IF(H7="","",IF(COUNTIFS($H$4:$H$5217,H7,$J$4:$J$5217,"&lt;="&amp;K7,$K$4:$K$5217,"&gt;="&amp;J7)&gt;1,"TARİH ÇAKIŞMASI",""))</f>
        <v/>
      </c>
    </row>
    <row r="8" spans="8:13" x14ac:dyDescent="0.25">
      <c r="H8" s="28">
        <v>6280</v>
      </c>
      <c r="I8" s="37" t="s">
        <v>232</v>
      </c>
      <c r="J8" s="96">
        <v>45390</v>
      </c>
      <c r="K8" s="96">
        <v>45390</v>
      </c>
      <c r="L8" s="45">
        <v>1</v>
      </c>
      <c r="M8" s="120" t="str">
        <f>IF(H8="","",IF(COUNTIFS($H$4:$H$5217,H8,$J$4:$J$5217,"&lt;="&amp;K8,$K$4:$K$5217,"&gt;="&amp;J8)&gt;1,"TARİH ÇAKIŞMASI",""))</f>
        <v/>
      </c>
    </row>
    <row r="9" spans="8:13" x14ac:dyDescent="0.25">
      <c r="H9" s="28">
        <v>6280</v>
      </c>
      <c r="I9" s="37" t="s">
        <v>232</v>
      </c>
      <c r="J9" s="96">
        <v>45391</v>
      </c>
      <c r="K9" s="96">
        <v>45391</v>
      </c>
      <c r="L9" s="45">
        <v>0.5</v>
      </c>
      <c r="M9" s="120" t="str">
        <f>IF(H9="","",IF(COUNTIFS($H$4:$H$5217,H9,$J$4:$J$5217,"&lt;="&amp;K9,$K$4:$K$5217,"&gt;="&amp;J9)&gt;1,"TARİH ÇAKIŞMASI",""))</f>
        <v/>
      </c>
    </row>
    <row r="10" spans="8:13" x14ac:dyDescent="0.25">
      <c r="H10" s="28">
        <v>6280</v>
      </c>
      <c r="I10" s="37" t="s">
        <v>232</v>
      </c>
      <c r="J10" s="96">
        <v>45404</v>
      </c>
      <c r="K10" s="96">
        <v>45404</v>
      </c>
      <c r="L10" s="45">
        <v>1</v>
      </c>
      <c r="M10" s="120" t="str">
        <f>IF(H10="","",IF(COUNTIFS($H$4:$H$5217,H10,$J$4:$J$5217,"&lt;="&amp;K10,$K$4:$K$5217,"&gt;="&amp;J10)&gt;1,"TARİH ÇAKIŞMASI",""))</f>
        <v/>
      </c>
    </row>
    <row r="11" spans="8:13" x14ac:dyDescent="0.25">
      <c r="H11" s="28">
        <v>6280</v>
      </c>
      <c r="I11" s="37" t="s">
        <v>232</v>
      </c>
      <c r="J11" s="96">
        <v>45463</v>
      </c>
      <c r="K11" s="96">
        <v>45464</v>
      </c>
      <c r="L11" s="45">
        <v>2</v>
      </c>
      <c r="M11" s="120" t="str">
        <f>IF(H11="","",IF(COUNTIFS($H$4:$H$5217,H11,$J$4:$J$5217,"&lt;="&amp;K11,$K$4:$K$5217,"&gt;="&amp;J11)&gt;1,"TARİH ÇAKIŞMASI",""))</f>
        <v/>
      </c>
    </row>
    <row r="12" spans="8:13" x14ac:dyDescent="0.25">
      <c r="H12" s="28">
        <v>6280</v>
      </c>
      <c r="I12" s="37" t="s">
        <v>232</v>
      </c>
      <c r="J12" s="96">
        <v>45523</v>
      </c>
      <c r="K12" s="96">
        <v>45526</v>
      </c>
      <c r="L12" s="45">
        <v>4</v>
      </c>
      <c r="M12" s="120" t="str">
        <f>IF(H12="","",IF(COUNTIFS($H$4:$H$5217,H12,$J$4:$J$5217,"&lt;="&amp;K12,$K$4:$K$5217,"&gt;="&amp;J12)&gt;1,"TARİH ÇAKIŞMASI",""))</f>
        <v/>
      </c>
    </row>
    <row r="13" spans="8:13" x14ac:dyDescent="0.25">
      <c r="H13" s="28">
        <v>6280</v>
      </c>
      <c r="I13" s="37" t="s">
        <v>232</v>
      </c>
      <c r="J13" s="96">
        <v>45527</v>
      </c>
      <c r="K13" s="96">
        <v>45533</v>
      </c>
      <c r="L13" s="45">
        <v>6</v>
      </c>
      <c r="M13" s="120" t="str">
        <f>IF(H13="","",IF(COUNTIFS($H$4:$H$5217,H13,$J$4:$J$5217,"&lt;="&amp;K13,$K$4:$K$5217,"&gt;="&amp;J13)&gt;1,"TARİH ÇAKIŞMASI",""))</f>
        <v/>
      </c>
    </row>
    <row r="14" spans="8:13" x14ac:dyDescent="0.25">
      <c r="H14" s="28">
        <v>6280</v>
      </c>
      <c r="I14" s="37" t="s">
        <v>232</v>
      </c>
      <c r="J14" s="96">
        <v>45593</v>
      </c>
      <c r="K14" s="96">
        <v>45593</v>
      </c>
      <c r="L14" s="45">
        <v>0.5</v>
      </c>
      <c r="M14" s="120" t="str">
        <f>IF(H14="","",IF(COUNTIFS($H$4:$H$5217,H14,$J$4:$J$5217,"&lt;="&amp;K14,$K$4:$K$5217,"&gt;="&amp;J14)&gt;1,"TARİH ÇAKIŞMASI",""))</f>
        <v/>
      </c>
    </row>
    <row r="15" spans="8:13" x14ac:dyDescent="0.25">
      <c r="H15" s="28">
        <v>6280</v>
      </c>
      <c r="I15" s="37" t="s">
        <v>232</v>
      </c>
      <c r="J15" s="96">
        <v>45749</v>
      </c>
      <c r="K15" s="96">
        <v>45751</v>
      </c>
      <c r="L15" s="45">
        <v>3</v>
      </c>
      <c r="M15" s="120" t="str">
        <f>IF(H15="","",IF(COUNTIFS($H$4:$H$5217,H15,$J$4:$J$5217,"&lt;="&amp;K15,$K$4:$K$5217,"&gt;="&amp;J15)&gt;1,"TARİH ÇAKIŞMASI",""))</f>
        <v/>
      </c>
    </row>
    <row r="16" spans="8:13" x14ac:dyDescent="0.25">
      <c r="H16" s="28">
        <v>6280</v>
      </c>
      <c r="I16" s="37" t="s">
        <v>232</v>
      </c>
      <c r="J16" s="96">
        <v>45813</v>
      </c>
      <c r="K16" s="96">
        <v>45813</v>
      </c>
      <c r="L16" s="45">
        <v>0.5</v>
      </c>
      <c r="M16" s="120" t="str">
        <f>IF(H16="","",IF(COUNTIFS($H$4:$H$5217,H16,$J$4:$J$5217,"&lt;="&amp;K16,$K$4:$K$5217,"&gt;="&amp;J16)&gt;1,"TARİH ÇAKIŞMASI",""))</f>
        <v/>
      </c>
    </row>
    <row r="17" spans="8:13" x14ac:dyDescent="0.25">
      <c r="H17" s="28">
        <v>6280</v>
      </c>
      <c r="I17" s="37" t="s">
        <v>232</v>
      </c>
      <c r="J17" s="96">
        <v>45894</v>
      </c>
      <c r="K17" s="96">
        <v>45906</v>
      </c>
      <c r="L17" s="45">
        <v>10</v>
      </c>
      <c r="M17" s="120" t="str">
        <f>IF(H17="","",IF(COUNTIFS($H$4:$H$5217,H17,$J$4:$J$5217,"&lt;="&amp;K17,$K$4:$K$5217,"&gt;="&amp;J17)&gt;1,"TARİH ÇAKIŞMASI",""))</f>
        <v/>
      </c>
    </row>
    <row r="18" spans="8:13" x14ac:dyDescent="0.25">
      <c r="H18" s="28">
        <v>6280</v>
      </c>
      <c r="I18" s="37" t="s">
        <v>232</v>
      </c>
      <c r="J18" s="96">
        <v>46024</v>
      </c>
      <c r="K18" s="96">
        <v>46024</v>
      </c>
      <c r="L18" s="45">
        <v>1</v>
      </c>
      <c r="M18" s="120" t="str">
        <f>IF(H18="","",IF(COUNTIFS($H$4:$H$5217,H18,$J$4:$J$5217,"&lt;="&amp;K18,$K$4:$K$5217,"&gt;="&amp;J18)&gt;1,"TARİH ÇAKIŞMASI",""))</f>
        <v/>
      </c>
    </row>
    <row r="19" spans="8:13" x14ac:dyDescent="0.25">
      <c r="H19" s="28">
        <v>6280</v>
      </c>
      <c r="I19" s="37" t="s">
        <v>232</v>
      </c>
      <c r="J19" s="96">
        <v>46167</v>
      </c>
      <c r="K19" s="96">
        <v>46168</v>
      </c>
      <c r="L19" s="45">
        <v>1.5</v>
      </c>
      <c r="M19" s="120" t="str">
        <f>IF(H19="","",IF(COUNTIFS($H$4:$H$5217,H19,$J$4:$J$5217,"&lt;="&amp;K19,$K$4:$K$5217,"&gt;="&amp;J19)&gt;1,"TARİH ÇAKIŞMASI",""))</f>
        <v/>
      </c>
    </row>
    <row r="20" spans="8:13" x14ac:dyDescent="0.25">
      <c r="H20" s="28">
        <v>5829</v>
      </c>
      <c r="I20" s="37" t="s">
        <v>229</v>
      </c>
      <c r="J20" s="96">
        <v>44686</v>
      </c>
      <c r="K20" s="96">
        <v>44687</v>
      </c>
      <c r="L20" s="45">
        <v>2</v>
      </c>
      <c r="M20" s="120" t="str">
        <f>IF(H20="","",IF(COUNTIFS($H$4:$H$5217,H20,$J$4:$J$5217,"&lt;="&amp;K20,$K$4:$K$5217,"&gt;="&amp;J20)&gt;1,"TARİH ÇAKIŞMASI",""))</f>
        <v/>
      </c>
    </row>
    <row r="21" spans="8:13" x14ac:dyDescent="0.25">
      <c r="H21" s="28">
        <v>5829</v>
      </c>
      <c r="I21" s="37" t="s">
        <v>229</v>
      </c>
      <c r="J21" s="96">
        <v>44755</v>
      </c>
      <c r="K21" s="96">
        <v>44756</v>
      </c>
      <c r="L21" s="45">
        <v>2</v>
      </c>
      <c r="M21" s="120" t="str">
        <f>IF(H21="","",IF(COUNTIFS($H$4:$H$5217,H21,$J$4:$J$5217,"&lt;="&amp;K21,$K$4:$K$5217,"&gt;="&amp;J21)&gt;1,"TARİH ÇAKIŞMASI",""))</f>
        <v/>
      </c>
    </row>
    <row r="22" spans="8:13" x14ac:dyDescent="0.25">
      <c r="H22" s="29">
        <v>5829</v>
      </c>
      <c r="I22" s="33" t="s">
        <v>229</v>
      </c>
      <c r="J22" s="96">
        <v>45054</v>
      </c>
      <c r="K22" s="96">
        <v>45059</v>
      </c>
      <c r="L22" s="46">
        <v>6</v>
      </c>
      <c r="M22" s="120" t="str">
        <f>IF(H22="","",IF(COUNTIFS($H$4:$H$5217,H22,$J$4:$J$5217,"&lt;="&amp;K22,$K$4:$K$5217,"&gt;="&amp;J22)&gt;1,"TARİH ÇAKIŞMASI",""))</f>
        <v/>
      </c>
    </row>
    <row r="23" spans="8:13" x14ac:dyDescent="0.25">
      <c r="H23" s="29">
        <v>5829</v>
      </c>
      <c r="I23" s="33" t="s">
        <v>229</v>
      </c>
      <c r="J23" s="97">
        <v>45103</v>
      </c>
      <c r="K23" s="97">
        <v>45104</v>
      </c>
      <c r="L23" s="46">
        <v>2</v>
      </c>
      <c r="M23" s="120" t="str">
        <f>IF(H23="","",IF(COUNTIFS($H$4:$H$5217,H23,$J$4:$J$5217,"&lt;="&amp;K23,$K$4:$K$5217,"&gt;="&amp;J23)&gt;1,"TARİH ÇAKIŞMASI",""))</f>
        <v/>
      </c>
    </row>
    <row r="24" spans="8:13" x14ac:dyDescent="0.25">
      <c r="H24" s="29">
        <v>5829</v>
      </c>
      <c r="I24" s="37" t="s">
        <v>229</v>
      </c>
      <c r="J24" s="96">
        <v>45208</v>
      </c>
      <c r="K24" s="96">
        <v>45209</v>
      </c>
      <c r="L24" s="45">
        <v>2</v>
      </c>
      <c r="M24" s="120" t="str">
        <f>IF(H24="","",IF(COUNTIFS($H$4:$H$5217,H24,$J$4:$J$5217,"&lt;="&amp;K24,$K$4:$K$5217,"&gt;="&amp;J24)&gt;1,"TARİH ÇAKIŞMASI",""))</f>
        <v/>
      </c>
    </row>
    <row r="25" spans="8:13" x14ac:dyDescent="0.25">
      <c r="H25" s="29">
        <v>5829</v>
      </c>
      <c r="I25" s="37" t="s">
        <v>229</v>
      </c>
      <c r="J25" s="96">
        <v>45390</v>
      </c>
      <c r="K25" s="96">
        <v>45390</v>
      </c>
      <c r="L25" s="45">
        <v>1</v>
      </c>
      <c r="M25" s="120" t="str">
        <f>IF(H25="","",IF(COUNTIFS($H$4:$H$5217,H25,$J$4:$J$5217,"&lt;="&amp;K25,$K$4:$K$5217,"&gt;="&amp;J25)&gt;1,"TARİH ÇAKIŞMASI",""))</f>
        <v/>
      </c>
    </row>
    <row r="26" spans="8:13" x14ac:dyDescent="0.25">
      <c r="H26" s="29">
        <v>5829</v>
      </c>
      <c r="I26" s="33" t="s">
        <v>229</v>
      </c>
      <c r="J26" s="96">
        <v>45391</v>
      </c>
      <c r="K26" s="96">
        <v>45391</v>
      </c>
      <c r="L26" s="46">
        <v>0.5</v>
      </c>
      <c r="M26" s="120" t="str">
        <f>IF(H26="","",IF(COUNTIFS($H$4:$H$5217,H26,$J$4:$J$5217,"&lt;="&amp;K26,$K$4:$K$5217,"&gt;="&amp;J26)&gt;1,"TARİH ÇAKIŞMASI",""))</f>
        <v/>
      </c>
    </row>
    <row r="27" spans="8:13" x14ac:dyDescent="0.25">
      <c r="H27" s="29">
        <v>5829</v>
      </c>
      <c r="I27" s="37" t="s">
        <v>229</v>
      </c>
      <c r="J27" s="96">
        <v>45463</v>
      </c>
      <c r="K27" s="96">
        <v>45478</v>
      </c>
      <c r="L27" s="45">
        <v>13</v>
      </c>
      <c r="M27" s="120" t="str">
        <f>IF(H27="","",IF(COUNTIFS($H$4:$H$5217,H27,$J$4:$J$5217,"&lt;="&amp;K27,$K$4:$K$5217,"&gt;="&amp;J27)&gt;1,"TARİH ÇAKIŞMASI",""))</f>
        <v/>
      </c>
    </row>
    <row r="28" spans="8:13" x14ac:dyDescent="0.25">
      <c r="H28" s="29">
        <v>5829</v>
      </c>
      <c r="I28" s="33" t="s">
        <v>229</v>
      </c>
      <c r="J28" s="97">
        <v>45479</v>
      </c>
      <c r="K28" s="97">
        <v>45479</v>
      </c>
      <c r="L28" s="46">
        <v>1</v>
      </c>
      <c r="M28" s="120" t="str">
        <f>IF(H28="","",IF(COUNTIFS($H$4:$H$5217,H28,$J$4:$J$5217,"&lt;="&amp;K28,$K$4:$K$5217,"&gt;="&amp;J28)&gt;1,"TARİH ÇAKIŞMASI",""))</f>
        <v/>
      </c>
    </row>
    <row r="29" spans="8:13" x14ac:dyDescent="0.25">
      <c r="H29" s="29">
        <v>5829</v>
      </c>
      <c r="I29" s="37" t="s">
        <v>229</v>
      </c>
      <c r="J29" s="96">
        <v>45593</v>
      </c>
      <c r="K29" s="96">
        <v>45593</v>
      </c>
      <c r="L29" s="45">
        <v>0.5</v>
      </c>
      <c r="M29" s="120" t="str">
        <f>IF(H29="","",IF(COUNTIFS($H$4:$H$5217,H29,$J$4:$J$5217,"&lt;="&amp;K29,$K$4:$K$5217,"&gt;="&amp;J29)&gt;1,"TARİH ÇAKIŞMASI",""))</f>
        <v/>
      </c>
    </row>
    <row r="30" spans="8:13" x14ac:dyDescent="0.25">
      <c r="H30" s="29">
        <v>5829</v>
      </c>
      <c r="I30" s="37" t="s">
        <v>229</v>
      </c>
      <c r="J30" s="96">
        <v>45749</v>
      </c>
      <c r="K30" s="96">
        <v>45751</v>
      </c>
      <c r="L30" s="45">
        <v>3</v>
      </c>
      <c r="M30" s="120" t="str">
        <f>IF(H30="","",IF(COUNTIFS($H$4:$H$5217,H30,$J$4:$J$5217,"&lt;="&amp;K30,$K$4:$K$5217,"&gt;="&amp;J30)&gt;1,"TARİH ÇAKIŞMASI",""))</f>
        <v/>
      </c>
    </row>
    <row r="31" spans="8:13" x14ac:dyDescent="0.25">
      <c r="H31" s="29">
        <v>5829</v>
      </c>
      <c r="I31" s="37" t="s">
        <v>229</v>
      </c>
      <c r="J31" s="96">
        <v>45813</v>
      </c>
      <c r="K31" s="96">
        <v>45813</v>
      </c>
      <c r="L31" s="45">
        <v>0.5</v>
      </c>
      <c r="M31" s="120" t="str">
        <f>IF(H31="","",IF(COUNTIFS($H$4:$H$5217,H31,$J$4:$J$5217,"&lt;="&amp;K31,$K$4:$K$5217,"&gt;="&amp;J31)&gt;1,"TARİH ÇAKIŞMASI",""))</f>
        <v/>
      </c>
    </row>
    <row r="32" spans="8:13" x14ac:dyDescent="0.25">
      <c r="H32" s="29">
        <v>5829</v>
      </c>
      <c r="I32" s="37" t="s">
        <v>229</v>
      </c>
      <c r="J32" s="96">
        <v>45852</v>
      </c>
      <c r="K32" s="96">
        <v>45864</v>
      </c>
      <c r="L32" s="45">
        <v>9</v>
      </c>
      <c r="M32" s="120" t="str">
        <f>IF(H32="","",IF(COUNTIFS($H$4:$H$5217,H32,$J$4:$J$5217,"&lt;="&amp;K32,$K$4:$K$5217,"&gt;="&amp;J32)&gt;1,"TARİH ÇAKIŞMASI",""))</f>
        <v/>
      </c>
    </row>
    <row r="33" spans="8:13" x14ac:dyDescent="0.25">
      <c r="H33" s="29">
        <v>5829</v>
      </c>
      <c r="I33" s="37" t="s">
        <v>229</v>
      </c>
      <c r="J33" s="96">
        <v>46024</v>
      </c>
      <c r="K33" s="96">
        <v>46024</v>
      </c>
      <c r="L33" s="45">
        <v>1</v>
      </c>
      <c r="M33" s="120" t="str">
        <f>IF(H33="","",IF(COUNTIFS($H$4:$H$5217,H33,$J$4:$J$5217,"&lt;="&amp;K33,$K$4:$K$5217,"&gt;="&amp;J33)&gt;1,"TARİH ÇAKIŞMASI",""))</f>
        <v/>
      </c>
    </row>
    <row r="34" spans="8:13" x14ac:dyDescent="0.25">
      <c r="H34" s="29">
        <v>5829</v>
      </c>
      <c r="I34" s="37" t="s">
        <v>229</v>
      </c>
      <c r="J34" s="96">
        <v>46167</v>
      </c>
      <c r="K34" s="96">
        <v>46168</v>
      </c>
      <c r="L34" s="45">
        <v>1.5</v>
      </c>
      <c r="M34" s="120" t="str">
        <f>IF(H34="","",IF(COUNTIFS($H$4:$H$5217,H34,$J$4:$J$5217,"&lt;="&amp;K34,$K$4:$K$5217,"&gt;="&amp;J34)&gt;1,"TARİH ÇAKIŞMASI",""))</f>
        <v/>
      </c>
    </row>
    <row r="35" spans="8:13" x14ac:dyDescent="0.25">
      <c r="H35" s="29">
        <v>5829</v>
      </c>
      <c r="I35" s="37" t="s">
        <v>229</v>
      </c>
      <c r="J35" s="96">
        <v>46199</v>
      </c>
      <c r="K35" s="96">
        <v>46217</v>
      </c>
      <c r="L35" s="45">
        <v>13</v>
      </c>
      <c r="M35" s="120" t="str">
        <f>IF(H35="","",IF(COUNTIFS($H$4:$H$5217,H35,$J$4:$J$5217,"&lt;="&amp;K35,$K$4:$K$5217,"&gt;="&amp;J35)&gt;1,"TARİH ÇAKIŞMASI",""))</f>
        <v/>
      </c>
    </row>
    <row r="36" spans="8:13" x14ac:dyDescent="0.25">
      <c r="H36" s="28">
        <v>7073</v>
      </c>
      <c r="I36" s="37" t="s">
        <v>230</v>
      </c>
      <c r="J36" s="96">
        <v>45864</v>
      </c>
      <c r="K36" s="96">
        <v>45876</v>
      </c>
      <c r="L36" s="45">
        <v>9</v>
      </c>
      <c r="M36" s="120" t="str">
        <f>IF(H36="","",IF(COUNTIFS($H$4:$H$5217,H36,$J$4:$J$5217,"&lt;="&amp;K36,$K$4:$K$5217,"&gt;="&amp;J36)&gt;1,"TARİH ÇAKIŞMASI",""))</f>
        <v/>
      </c>
    </row>
    <row r="37" spans="8:13" x14ac:dyDescent="0.25">
      <c r="H37" s="28">
        <v>7073</v>
      </c>
      <c r="I37" s="37" t="s">
        <v>230</v>
      </c>
      <c r="J37" s="96">
        <v>46256</v>
      </c>
      <c r="K37" s="96">
        <v>46268</v>
      </c>
      <c r="L37" s="45">
        <v>11</v>
      </c>
      <c r="M37" s="120" t="str">
        <f>IF(H37="","",IF(COUNTIFS($H$4:$H$5217,H37,$J$4:$J$5217,"&lt;="&amp;K37,$K$4:$K$5217,"&gt;="&amp;J37)&gt;1,"TARİH ÇAKIŞMASI",""))</f>
        <v/>
      </c>
    </row>
    <row r="38" spans="8:13" x14ac:dyDescent="0.25">
      <c r="H38" s="28">
        <v>3030</v>
      </c>
      <c r="I38" s="37" t="s">
        <v>231</v>
      </c>
      <c r="J38" s="96">
        <v>42577</v>
      </c>
      <c r="K38" s="96">
        <v>42594</v>
      </c>
      <c r="L38" s="45">
        <v>14</v>
      </c>
      <c r="M38" s="120" t="str">
        <f>IF(H38="","",IF(COUNTIFS($H$4:$H$5217,H38,$J$4:$J$5217,"&lt;="&amp;K38,$K$4:$K$5217,"&gt;="&amp;J38)&gt;1,"TARİH ÇAKIŞMASI",""))</f>
        <v/>
      </c>
    </row>
    <row r="39" spans="8:13" x14ac:dyDescent="0.25">
      <c r="H39" s="28">
        <v>3030</v>
      </c>
      <c r="I39" s="37" t="s">
        <v>231</v>
      </c>
      <c r="J39" s="96">
        <v>42954</v>
      </c>
      <c r="K39" s="96">
        <v>42971</v>
      </c>
      <c r="L39" s="45">
        <v>14</v>
      </c>
      <c r="M39" s="120" t="str">
        <f>IF(H39="","",IF(COUNTIFS($H$4:$H$5217,H39,$J$4:$J$5217,"&lt;="&amp;K39,$K$4:$K$5217,"&gt;="&amp;J39)&gt;1,"TARİH ÇAKIŞMASI",""))</f>
        <v/>
      </c>
    </row>
    <row r="40" spans="8:13" x14ac:dyDescent="0.25">
      <c r="H40" s="28">
        <v>3030</v>
      </c>
      <c r="I40" s="37" t="s">
        <v>231</v>
      </c>
      <c r="J40" s="96">
        <v>43214</v>
      </c>
      <c r="K40" s="96">
        <v>43220</v>
      </c>
      <c r="L40" s="45">
        <v>6</v>
      </c>
      <c r="M40" s="120" t="str">
        <f>IF(H40="","",IF(COUNTIFS($H$4:$H$5217,H40,$J$4:$J$5217,"&lt;="&amp;K40,$K$4:$K$5217,"&gt;="&amp;J40)&gt;1,"TARİH ÇAKIŞMASI",""))</f>
        <v/>
      </c>
    </row>
    <row r="41" spans="8:13" x14ac:dyDescent="0.25">
      <c r="H41" s="28">
        <v>3030</v>
      </c>
      <c r="I41" s="37" t="s">
        <v>231</v>
      </c>
      <c r="J41" s="96">
        <v>43248</v>
      </c>
      <c r="K41" s="96">
        <v>43249</v>
      </c>
      <c r="L41" s="45">
        <v>2</v>
      </c>
      <c r="M41" s="120" t="str">
        <f>IF(H41="","",IF(COUNTIFS($H$4:$H$5217,H41,$J$4:$J$5217,"&lt;="&amp;K41,$K$4:$K$5217,"&gt;="&amp;J41)&gt;1,"TARİH ÇAKIŞMASI",""))</f>
        <v/>
      </c>
    </row>
    <row r="42" spans="8:13" x14ac:dyDescent="0.25">
      <c r="H42" s="28">
        <v>3030</v>
      </c>
      <c r="I42" s="37" t="s">
        <v>231</v>
      </c>
      <c r="J42" s="96">
        <v>43465</v>
      </c>
      <c r="K42" s="96">
        <v>43465</v>
      </c>
      <c r="L42" s="45">
        <v>1</v>
      </c>
      <c r="M42" s="120" t="str">
        <f>IF(H42="","",IF(COUNTIFS($H$4:$H$5217,H42,$J$4:$J$5217,"&lt;="&amp;K42,$K$4:$K$5217,"&gt;="&amp;J42)&gt;1,"TARİH ÇAKIŞMASI",""))</f>
        <v/>
      </c>
    </row>
    <row r="43" spans="8:13" x14ac:dyDescent="0.25">
      <c r="H43" s="28">
        <v>3030</v>
      </c>
      <c r="I43" s="37" t="s">
        <v>231</v>
      </c>
      <c r="J43" s="96">
        <v>43577</v>
      </c>
      <c r="K43" s="96">
        <v>43577</v>
      </c>
      <c r="L43" s="45">
        <v>1</v>
      </c>
      <c r="M43" s="120" t="str">
        <f>IF(H43="","",IF(COUNTIFS($H$4:$H$5217,H43,$J$4:$J$5217,"&lt;="&amp;K43,$K$4:$K$5217,"&gt;="&amp;J43)&gt;1,"TARİH ÇAKIŞMASI",""))</f>
        <v/>
      </c>
    </row>
    <row r="44" spans="8:13" x14ac:dyDescent="0.25">
      <c r="H44" s="28">
        <v>3030</v>
      </c>
      <c r="I44" s="37" t="s">
        <v>231</v>
      </c>
      <c r="J44" s="96">
        <v>43623</v>
      </c>
      <c r="K44" s="96">
        <v>43624</v>
      </c>
      <c r="L44" s="45">
        <v>2</v>
      </c>
      <c r="M44" s="120" t="str">
        <f>IF(H44="","",IF(COUNTIFS($H$4:$H$5217,H44,$J$4:$J$5217,"&lt;="&amp;K44,$K$4:$K$5217,"&gt;="&amp;J44)&gt;1,"TARİH ÇAKIŞMASI",""))</f>
        <v/>
      </c>
    </row>
    <row r="45" spans="8:13" x14ac:dyDescent="0.25">
      <c r="H45" s="28">
        <v>3030</v>
      </c>
      <c r="I45" s="37" t="s">
        <v>231</v>
      </c>
      <c r="J45" s="96">
        <v>43692</v>
      </c>
      <c r="K45" s="96">
        <v>43694</v>
      </c>
      <c r="L45" s="45">
        <v>3</v>
      </c>
      <c r="M45" s="120" t="str">
        <f>IF(H45="","",IF(COUNTIFS($H$4:$H$5217,H45,$J$4:$J$5217,"&lt;="&amp;K45,$K$4:$K$5217,"&gt;="&amp;J45)&gt;1,"TARİH ÇAKIŞMASI",""))</f>
        <v/>
      </c>
    </row>
    <row r="46" spans="8:13" x14ac:dyDescent="0.25">
      <c r="H46" s="28">
        <v>3030</v>
      </c>
      <c r="I46" s="37" t="s">
        <v>231</v>
      </c>
      <c r="J46" s="96">
        <v>43717</v>
      </c>
      <c r="K46" s="96">
        <v>43722</v>
      </c>
      <c r="L46" s="45">
        <v>6</v>
      </c>
      <c r="M46" s="120" t="str">
        <f>IF(H46="","",IF(COUNTIFS($H$4:$H$5217,H46,$J$4:$J$5217,"&lt;="&amp;K46,$K$4:$K$5217,"&gt;="&amp;J46)&gt;1,"TARİH ÇAKIŞMASI",""))</f>
        <v/>
      </c>
    </row>
    <row r="47" spans="8:13" x14ac:dyDescent="0.25">
      <c r="H47" s="28">
        <v>3030</v>
      </c>
      <c r="I47" s="37" t="s">
        <v>231</v>
      </c>
      <c r="J47" s="96">
        <v>43766</v>
      </c>
      <c r="K47" s="96">
        <v>43766</v>
      </c>
      <c r="L47" s="45">
        <v>1</v>
      </c>
      <c r="M47" s="120" t="str">
        <f>IF(H47="","",IF(COUNTIFS($H$4:$H$5217,H47,$J$4:$J$5217,"&lt;="&amp;K47,$K$4:$K$5217,"&gt;="&amp;J47)&gt;1,"TARİH ÇAKIŞMASI",""))</f>
        <v/>
      </c>
    </row>
    <row r="48" spans="8:13" x14ac:dyDescent="0.25">
      <c r="H48" s="28">
        <v>3030</v>
      </c>
      <c r="I48" s="37" t="s">
        <v>231</v>
      </c>
      <c r="J48" s="96">
        <v>44298</v>
      </c>
      <c r="K48" s="96">
        <v>44298</v>
      </c>
      <c r="L48" s="45">
        <v>1</v>
      </c>
      <c r="M48" s="120" t="str">
        <f>IF(H48="","",IF(COUNTIFS($H$4:$H$5217,H48,$J$4:$J$5217,"&lt;="&amp;K48,$K$4:$K$5217,"&gt;="&amp;J48)&gt;1,"TARİH ÇAKIŞMASI",""))</f>
        <v/>
      </c>
    </row>
    <row r="49" spans="8:13" x14ac:dyDescent="0.25">
      <c r="H49" s="28">
        <v>3030</v>
      </c>
      <c r="I49" s="37" t="s">
        <v>231</v>
      </c>
      <c r="J49" s="96">
        <v>44364</v>
      </c>
      <c r="K49" s="96">
        <v>44368</v>
      </c>
      <c r="L49" s="45">
        <v>4</v>
      </c>
      <c r="M49" s="120" t="str">
        <f>IF(H49="","",IF(COUNTIFS($H$4:$H$5217,H49,$J$4:$J$5217,"&lt;="&amp;K49,$K$4:$K$5217,"&gt;="&amp;J49)&gt;1,"TARİH ÇAKIŞMASI",""))</f>
        <v/>
      </c>
    </row>
    <row r="50" spans="8:13" x14ac:dyDescent="0.25">
      <c r="H50" s="28">
        <v>3030</v>
      </c>
      <c r="I50" s="37" t="s">
        <v>231</v>
      </c>
      <c r="J50" s="96">
        <v>44393</v>
      </c>
      <c r="K50" s="96">
        <v>44393</v>
      </c>
      <c r="L50" s="45">
        <v>1</v>
      </c>
      <c r="M50" s="120" t="str">
        <f>IF(H50="","",IF(COUNTIFS($H$4:$H$5217,H50,$J$4:$J$5217,"&lt;="&amp;K50,$K$4:$K$5217,"&gt;="&amp;J50)&gt;1,"TARİH ÇAKIŞMASI",""))</f>
        <v/>
      </c>
    </row>
    <row r="51" spans="8:13" x14ac:dyDescent="0.25">
      <c r="H51" s="28">
        <v>3030</v>
      </c>
      <c r="I51" s="37" t="s">
        <v>231</v>
      </c>
      <c r="J51" s="96">
        <v>44396</v>
      </c>
      <c r="K51" s="96">
        <v>44405</v>
      </c>
      <c r="L51" s="45">
        <v>4</v>
      </c>
      <c r="M51" s="120" t="str">
        <f>IF(H51="","",IF(COUNTIFS($H$4:$H$5217,H51,$J$4:$J$5217,"&lt;="&amp;K51,$K$4:$K$5217,"&gt;="&amp;J51)&gt;1,"TARİH ÇAKIŞMASI",""))</f>
        <v/>
      </c>
    </row>
    <row r="52" spans="8:13" x14ac:dyDescent="0.25">
      <c r="H52" s="28">
        <v>3030</v>
      </c>
      <c r="I52" s="37" t="s">
        <v>231</v>
      </c>
      <c r="J52" s="96">
        <v>44686</v>
      </c>
      <c r="K52" s="96">
        <v>44687</v>
      </c>
      <c r="L52" s="45">
        <v>2</v>
      </c>
      <c r="M52" s="120" t="str">
        <f>IF(H52="","",IF(COUNTIFS($H$4:$H$5217,H52,$J$4:$J$5217,"&lt;="&amp;K52,$K$4:$K$5217,"&gt;="&amp;J52)&gt;1,"TARİH ÇAKIŞMASI",""))</f>
        <v/>
      </c>
    </row>
    <row r="53" spans="8:13" x14ac:dyDescent="0.25">
      <c r="H53" s="28">
        <v>3030</v>
      </c>
      <c r="I53" s="37" t="s">
        <v>231</v>
      </c>
      <c r="J53" s="96">
        <v>44725</v>
      </c>
      <c r="K53" s="96">
        <v>44730</v>
      </c>
      <c r="L53" s="45">
        <v>6</v>
      </c>
      <c r="M53" s="120" t="str">
        <f>IF(H53="","",IF(COUNTIFS($H$4:$H$5217,H53,$J$4:$J$5217,"&lt;="&amp;K53,$K$4:$K$5217,"&gt;="&amp;J53)&gt;1,"TARİH ÇAKIŞMASI",""))</f>
        <v/>
      </c>
    </row>
    <row r="54" spans="8:13" x14ac:dyDescent="0.25">
      <c r="H54" s="28">
        <v>3030</v>
      </c>
      <c r="I54" s="37" t="s">
        <v>231</v>
      </c>
      <c r="J54" s="96">
        <v>44755</v>
      </c>
      <c r="K54" s="96">
        <v>44756</v>
      </c>
      <c r="L54" s="45">
        <v>2</v>
      </c>
      <c r="M54" s="120" t="str">
        <f>IF(H54="","",IF(COUNTIFS($H$4:$H$5217,H54,$J$4:$J$5217,"&lt;="&amp;K54,$K$4:$K$5217,"&gt;="&amp;J54)&gt;1,"TARİH ÇAKIŞMASI",""))</f>
        <v/>
      </c>
    </row>
    <row r="55" spans="8:13" x14ac:dyDescent="0.25">
      <c r="H55" s="28">
        <v>3030</v>
      </c>
      <c r="I55" s="37" t="s">
        <v>231</v>
      </c>
      <c r="J55" s="96">
        <v>44893</v>
      </c>
      <c r="K55" s="96">
        <v>44893</v>
      </c>
      <c r="L55" s="45">
        <v>1</v>
      </c>
      <c r="M55" s="120" t="str">
        <f>IF(H55="","",IF(COUNTIFS($H$4:$H$5217,H55,$J$4:$J$5217,"&lt;="&amp;K55,$K$4:$K$5217,"&gt;="&amp;J55)&gt;1,"TARİH ÇAKIŞMASI",""))</f>
        <v/>
      </c>
    </row>
    <row r="56" spans="8:13" x14ac:dyDescent="0.25">
      <c r="H56" s="28">
        <v>3030</v>
      </c>
      <c r="I56" s="37" t="s">
        <v>231</v>
      </c>
      <c r="J56" s="96">
        <v>44965</v>
      </c>
      <c r="K56" s="96">
        <v>44965</v>
      </c>
      <c r="L56" s="45">
        <v>1</v>
      </c>
      <c r="M56" s="120" t="str">
        <f>IF(H56="","",IF(COUNTIFS($H$4:$H$5217,H56,$J$4:$J$5217,"&lt;="&amp;K56,$K$4:$K$5217,"&gt;="&amp;J56)&gt;1,"TARİH ÇAKIŞMASI",""))</f>
        <v/>
      </c>
    </row>
    <row r="57" spans="8:13" x14ac:dyDescent="0.25">
      <c r="H57" s="28">
        <v>3030</v>
      </c>
      <c r="I57" s="37" t="s">
        <v>231</v>
      </c>
      <c r="J57" s="96">
        <v>45096</v>
      </c>
      <c r="K57" s="96">
        <v>45101</v>
      </c>
      <c r="L57" s="45">
        <v>6</v>
      </c>
      <c r="M57" s="120" t="str">
        <f>IF(H57="","",IF(COUNTIFS($H$4:$H$5217,H57,$J$4:$J$5217,"&lt;="&amp;K57,$K$4:$K$5217,"&gt;="&amp;J57)&gt;1,"TARİH ÇAKIŞMASI",""))</f>
        <v/>
      </c>
    </row>
    <row r="58" spans="8:13" x14ac:dyDescent="0.25">
      <c r="H58" s="28">
        <v>3030</v>
      </c>
      <c r="I58" s="37" t="s">
        <v>231</v>
      </c>
      <c r="J58" s="96">
        <v>45103</v>
      </c>
      <c r="K58" s="96">
        <v>45104</v>
      </c>
      <c r="L58" s="45">
        <v>2</v>
      </c>
      <c r="M58" s="120" t="str">
        <f>IF(H58="","",IF(COUNTIFS($H$4:$H$5217,H58,$J$4:$J$5217,"&lt;="&amp;K58,$K$4:$K$5217,"&gt;="&amp;J58)&gt;1,"TARİH ÇAKIŞMASI",""))</f>
        <v/>
      </c>
    </row>
    <row r="59" spans="8:13" x14ac:dyDescent="0.25">
      <c r="H59" s="28">
        <v>3030</v>
      </c>
      <c r="I59" s="37" t="s">
        <v>231</v>
      </c>
      <c r="J59" s="96">
        <v>45350</v>
      </c>
      <c r="K59" s="96">
        <v>45350</v>
      </c>
      <c r="L59" s="45">
        <v>1</v>
      </c>
      <c r="M59" s="120" t="str">
        <f>IF(H59="","",IF(COUNTIFS($H$4:$H$5217,H59,$J$4:$J$5217,"&lt;="&amp;K59,$K$4:$K$5217,"&gt;="&amp;J59)&gt;1,"TARİH ÇAKIŞMASI",""))</f>
        <v/>
      </c>
    </row>
    <row r="60" spans="8:13" x14ac:dyDescent="0.25">
      <c r="H60" s="28">
        <v>3030</v>
      </c>
      <c r="I60" s="37" t="s">
        <v>231</v>
      </c>
      <c r="J60" s="96">
        <v>45390</v>
      </c>
      <c r="K60" s="96">
        <v>45390</v>
      </c>
      <c r="L60" s="45">
        <v>1</v>
      </c>
      <c r="M60" s="120" t="str">
        <f>IF(H60="","",IF(COUNTIFS($H$4:$H$5217,H60,$J$4:$J$5217,"&lt;="&amp;K60,$K$4:$K$5217,"&gt;="&amp;J60)&gt;1,"TARİH ÇAKIŞMASI",""))</f>
        <v/>
      </c>
    </row>
    <row r="61" spans="8:13" x14ac:dyDescent="0.25">
      <c r="H61" s="28">
        <v>3030</v>
      </c>
      <c r="I61" s="37" t="s">
        <v>231</v>
      </c>
      <c r="J61" s="96">
        <v>45391</v>
      </c>
      <c r="K61" s="96">
        <v>45391</v>
      </c>
      <c r="L61" s="45">
        <v>0.5</v>
      </c>
      <c r="M61" s="120" t="str">
        <f>IF(H61="","",IF(COUNTIFS($H$4:$H$5217,H61,$J$4:$J$5217,"&lt;="&amp;K61,$K$4:$K$5217,"&gt;="&amp;J61)&gt;1,"TARİH ÇAKIŞMASI",""))</f>
        <v/>
      </c>
    </row>
    <row r="62" spans="8:13" x14ac:dyDescent="0.25">
      <c r="H62" s="28">
        <v>3030</v>
      </c>
      <c r="I62" s="37" t="s">
        <v>231</v>
      </c>
      <c r="J62" s="96">
        <v>45404</v>
      </c>
      <c r="K62" s="96">
        <v>45404</v>
      </c>
      <c r="L62" s="45">
        <v>1</v>
      </c>
      <c r="M62" s="120" t="str">
        <f>IF(H62="","",IF(COUNTIFS($H$4:$H$5217,H62,$J$4:$J$5217,"&lt;="&amp;K62,$K$4:$K$5217,"&gt;="&amp;J62)&gt;1,"TARİH ÇAKIŞMASI",""))</f>
        <v/>
      </c>
    </row>
    <row r="63" spans="8:13" x14ac:dyDescent="0.25">
      <c r="H63" s="28">
        <v>3030</v>
      </c>
      <c r="I63" s="37" t="s">
        <v>231</v>
      </c>
      <c r="J63" s="96">
        <v>45463</v>
      </c>
      <c r="K63" s="96">
        <v>45471</v>
      </c>
      <c r="L63" s="45">
        <v>7</v>
      </c>
      <c r="M63" s="120" t="str">
        <f>IF(H63="","",IF(COUNTIFS($H$4:$H$5217,H63,$J$4:$J$5217,"&lt;="&amp;K63,$K$4:$K$5217,"&gt;="&amp;J63)&gt;1,"TARİH ÇAKIŞMASI",""))</f>
        <v/>
      </c>
    </row>
    <row r="64" spans="8:13" x14ac:dyDescent="0.25">
      <c r="H64" s="28">
        <v>3030</v>
      </c>
      <c r="I64" s="37" t="s">
        <v>231</v>
      </c>
      <c r="J64" s="96">
        <v>45472</v>
      </c>
      <c r="K64" s="96">
        <v>45472</v>
      </c>
      <c r="L64" s="45">
        <v>1</v>
      </c>
      <c r="M64" s="120" t="str">
        <f>IF(H64="","",IF(COUNTIFS($H$4:$H$5217,H64,$J$4:$J$5217,"&lt;="&amp;K64,$K$4:$K$5217,"&gt;="&amp;J64)&gt;1,"TARİH ÇAKIŞMASI",""))</f>
        <v/>
      </c>
    </row>
    <row r="65" spans="8:13" x14ac:dyDescent="0.25">
      <c r="H65" s="28">
        <v>3030</v>
      </c>
      <c r="I65" s="37" t="s">
        <v>231</v>
      </c>
      <c r="J65" s="96">
        <v>45544</v>
      </c>
      <c r="K65" s="96">
        <v>45554</v>
      </c>
      <c r="L65" s="45">
        <v>10</v>
      </c>
      <c r="M65" s="120" t="str">
        <f>IF(H65="","",IF(COUNTIFS($H$4:$H$5217,H65,$J$4:$J$5217,"&lt;="&amp;K65,$K$4:$K$5217,"&gt;="&amp;J65)&gt;1,"TARİH ÇAKIŞMASI",""))</f>
        <v/>
      </c>
    </row>
    <row r="66" spans="8:13" x14ac:dyDescent="0.25">
      <c r="H66" s="28">
        <v>3030</v>
      </c>
      <c r="I66" s="37" t="s">
        <v>231</v>
      </c>
      <c r="J66" s="96">
        <v>45572</v>
      </c>
      <c r="K66" s="96">
        <v>45572</v>
      </c>
      <c r="L66" s="45">
        <v>1</v>
      </c>
      <c r="M66" s="120" t="str">
        <f>IF(H66="","",IF(COUNTIFS($H$4:$H$5217,H66,$J$4:$J$5217,"&lt;="&amp;K66,$K$4:$K$5217,"&gt;="&amp;J66)&gt;1,"TARİH ÇAKIŞMASI",""))</f>
        <v/>
      </c>
    </row>
    <row r="67" spans="8:13" x14ac:dyDescent="0.25">
      <c r="H67" s="28">
        <v>3030</v>
      </c>
      <c r="I67" s="37" t="s">
        <v>231</v>
      </c>
      <c r="J67" s="96">
        <v>45589</v>
      </c>
      <c r="K67" s="96">
        <v>45602</v>
      </c>
      <c r="L67" s="45">
        <v>9.5</v>
      </c>
      <c r="M67" s="120" t="str">
        <f>IF(H67="","",IF(COUNTIFS($H$4:$H$5217,H67,$J$4:$J$5217,"&lt;="&amp;K67,$K$4:$K$5217,"&gt;="&amp;J67)&gt;1,"TARİH ÇAKIŞMASI",""))</f>
        <v/>
      </c>
    </row>
    <row r="68" spans="8:13" x14ac:dyDescent="0.25">
      <c r="H68" s="28">
        <v>3030</v>
      </c>
      <c r="I68" s="37" t="s">
        <v>231</v>
      </c>
      <c r="J68" s="96">
        <v>45803</v>
      </c>
      <c r="K68" s="96">
        <v>45803</v>
      </c>
      <c r="L68" s="45">
        <v>1</v>
      </c>
      <c r="M68" s="120" t="str">
        <f>IF(H68="","",IF(COUNTIFS($H$4:$H$5217,H68,$J$4:$J$5217,"&lt;="&amp;K68,$K$4:$K$5217,"&gt;="&amp;J68)&gt;1,"TARİH ÇAKIŞMASI",""))</f>
        <v/>
      </c>
    </row>
    <row r="69" spans="8:13" x14ac:dyDescent="0.25">
      <c r="H69" s="28">
        <v>3030</v>
      </c>
      <c r="I69" s="37" t="s">
        <v>231</v>
      </c>
      <c r="J69" s="96">
        <v>45813</v>
      </c>
      <c r="K69" s="96">
        <v>45813</v>
      </c>
      <c r="L69" s="45">
        <v>0.5</v>
      </c>
      <c r="M69" s="120" t="str">
        <f>IF(H69="","",IF(COUNTIFS($H$4:$H$5217,H69,$J$4:$J$5217,"&lt;="&amp;K69,$K$4:$K$5217,"&gt;="&amp;J69)&gt;1,"TARİH ÇAKIŞMASI",""))</f>
        <v/>
      </c>
    </row>
    <row r="70" spans="8:13" x14ac:dyDescent="0.25">
      <c r="H70" s="28">
        <v>3030</v>
      </c>
      <c r="I70" s="37" t="s">
        <v>231</v>
      </c>
      <c r="J70" s="96">
        <v>45908</v>
      </c>
      <c r="K70" s="96">
        <v>45913</v>
      </c>
      <c r="L70" s="45">
        <v>5</v>
      </c>
      <c r="M70" s="120" t="str">
        <f>IF(H70="","",IF(COUNTIFS($H$4:$H$5217,H70,$J$4:$J$5217,"&lt;="&amp;K70,$K$4:$K$5217,"&gt;="&amp;J70)&gt;1,"TARİH ÇAKIŞMASI",""))</f>
        <v/>
      </c>
    </row>
    <row r="71" spans="8:13" x14ac:dyDescent="0.25">
      <c r="H71" s="28">
        <v>3030</v>
      </c>
      <c r="I71" s="37" t="s">
        <v>231</v>
      </c>
      <c r="J71" s="96">
        <v>45957</v>
      </c>
      <c r="K71" s="96">
        <v>45958</v>
      </c>
      <c r="L71" s="45">
        <v>1.5</v>
      </c>
      <c r="M71" s="120" t="str">
        <f>IF(H71="","",IF(COUNTIFS($H$4:$H$5217,H71,$J$4:$J$5217,"&lt;="&amp;K71,$K$4:$K$5217,"&gt;="&amp;J71)&gt;1,"TARİH ÇAKIŞMASI",""))</f>
        <v/>
      </c>
    </row>
    <row r="72" spans="8:13" x14ac:dyDescent="0.25">
      <c r="H72" s="28">
        <v>3030</v>
      </c>
      <c r="I72" s="37" t="s">
        <v>231</v>
      </c>
      <c r="J72" s="96">
        <v>46008</v>
      </c>
      <c r="K72" s="96">
        <v>46008</v>
      </c>
      <c r="L72" s="45">
        <v>1</v>
      </c>
      <c r="M72" s="120" t="str">
        <f>IF(H72="","",IF(COUNTIFS($H$4:$H$5217,H72,$J$4:$J$5217,"&lt;="&amp;K72,$K$4:$K$5217,"&gt;="&amp;J72)&gt;1,"TARİH ÇAKIŞMASI",""))</f>
        <v/>
      </c>
    </row>
    <row r="73" spans="8:13" x14ac:dyDescent="0.25">
      <c r="H73" s="28">
        <v>7304</v>
      </c>
      <c r="I73" s="37" t="s">
        <v>234</v>
      </c>
      <c r="J73" s="96">
        <v>45810</v>
      </c>
      <c r="K73" s="96">
        <v>45825</v>
      </c>
      <c r="L73" s="45">
        <v>10</v>
      </c>
      <c r="M73" s="120" t="str">
        <f>IF(H73="","",IF(COUNTIFS($H$4:$H$5217,H73,$J$4:$J$5217,"&lt;="&amp;K73,$K$4:$K$5217,"&gt;="&amp;J73)&gt;1,"TARİH ÇAKIŞMASI",""))</f>
        <v/>
      </c>
    </row>
    <row r="74" spans="8:13" x14ac:dyDescent="0.25">
      <c r="H74" s="28">
        <v>7304</v>
      </c>
      <c r="I74" s="37" t="s">
        <v>234</v>
      </c>
      <c r="J74" s="96">
        <v>46181</v>
      </c>
      <c r="K74" s="96">
        <v>46192</v>
      </c>
      <c r="L74" s="45">
        <v>10</v>
      </c>
      <c r="M74" s="120" t="str">
        <f>IF(H74="","",IF(COUNTIFS($H$4:$H$5217,H74,$J$4:$J$5217,"&lt;="&amp;K74,$K$4:$K$5217,"&gt;="&amp;J74)&gt;1,"TARİH ÇAKIŞMASI",""))</f>
        <v/>
      </c>
    </row>
    <row r="75" spans="8:13" x14ac:dyDescent="0.25">
      <c r="H75" s="28">
        <v>6860</v>
      </c>
      <c r="I75" s="37" t="s">
        <v>233</v>
      </c>
      <c r="J75" s="96">
        <v>45390</v>
      </c>
      <c r="K75" s="96">
        <v>45390</v>
      </c>
      <c r="L75" s="45">
        <v>1</v>
      </c>
      <c r="M75" s="120" t="str">
        <f>IF(H75="","",IF(COUNTIFS($H$4:$H$5217,H75,$J$4:$J$5217,"&lt;="&amp;K75,$K$4:$K$5217,"&gt;="&amp;J75)&gt;1,"TARİH ÇAKIŞMASI",""))</f>
        <v/>
      </c>
    </row>
    <row r="76" spans="8:13" x14ac:dyDescent="0.25">
      <c r="H76" s="28">
        <v>6860</v>
      </c>
      <c r="I76" s="37" t="s">
        <v>233</v>
      </c>
      <c r="J76" s="96">
        <v>45391</v>
      </c>
      <c r="K76" s="96">
        <v>45391</v>
      </c>
      <c r="L76" s="45">
        <v>0.5</v>
      </c>
      <c r="M76" s="120" t="str">
        <f>IF(H76="","",IF(COUNTIFS($H$4:$H$5217,H76,$J$4:$J$5217,"&lt;="&amp;K76,$K$4:$K$5217,"&gt;="&amp;J76)&gt;1,"TARİH ÇAKIŞMASI",""))</f>
        <v/>
      </c>
    </row>
    <row r="77" spans="8:13" x14ac:dyDescent="0.25">
      <c r="H77" s="28">
        <v>6860</v>
      </c>
      <c r="I77" s="37" t="s">
        <v>233</v>
      </c>
      <c r="J77" s="96">
        <v>45404</v>
      </c>
      <c r="K77" s="96">
        <v>45404</v>
      </c>
      <c r="L77" s="45">
        <v>1</v>
      </c>
      <c r="M77" s="120" t="str">
        <f>IF(H77="","",IF(COUNTIFS($H$4:$H$5217,H77,$J$4:$J$5217,"&lt;="&amp;K77,$K$4:$K$5217,"&gt;="&amp;J77)&gt;1,"TARİH ÇAKIŞMASI",""))</f>
        <v/>
      </c>
    </row>
    <row r="78" spans="8:13" x14ac:dyDescent="0.25">
      <c r="H78" s="28">
        <v>6860</v>
      </c>
      <c r="I78" s="37" t="s">
        <v>233</v>
      </c>
      <c r="J78" s="96">
        <v>45463</v>
      </c>
      <c r="K78" s="96">
        <v>45464</v>
      </c>
      <c r="L78" s="45">
        <v>2</v>
      </c>
      <c r="M78" s="120" t="str">
        <f>IF(H78="","",IF(COUNTIFS($H$4:$H$5217,H78,$J$4:$J$5217,"&lt;="&amp;K78,$K$4:$K$5217,"&gt;="&amp;J78)&gt;1,"TARİH ÇAKIŞMASI",""))</f>
        <v/>
      </c>
    </row>
    <row r="79" spans="8:13" x14ac:dyDescent="0.25">
      <c r="H79" s="28">
        <v>6860</v>
      </c>
      <c r="I79" s="37" t="s">
        <v>233</v>
      </c>
      <c r="J79" s="96">
        <v>45516</v>
      </c>
      <c r="K79" s="96">
        <v>45526</v>
      </c>
      <c r="L79" s="45">
        <v>10</v>
      </c>
      <c r="M79" s="120" t="str">
        <f>IF(H79="","",IF(COUNTIFS($H$4:$H$5217,H79,$J$4:$J$5217,"&lt;="&amp;K79,$K$4:$K$5217,"&gt;="&amp;J79)&gt;1,"TARİH ÇAKIŞMASI",""))</f>
        <v/>
      </c>
    </row>
    <row r="80" spans="8:13" x14ac:dyDescent="0.25">
      <c r="H80" s="28">
        <v>6860</v>
      </c>
      <c r="I80" s="37" t="s">
        <v>233</v>
      </c>
      <c r="J80" s="96">
        <v>45593</v>
      </c>
      <c r="K80" s="96">
        <v>45593</v>
      </c>
      <c r="L80" s="45">
        <v>0.5</v>
      </c>
      <c r="M80" s="120" t="str">
        <f>IF(H80="","",IF(COUNTIFS($H$4:$H$5217,H80,$J$4:$J$5217,"&lt;="&amp;K80,$K$4:$K$5217,"&gt;="&amp;J80)&gt;1,"TARİH ÇAKIŞMASI",""))</f>
        <v/>
      </c>
    </row>
    <row r="81" spans="8:13" x14ac:dyDescent="0.25">
      <c r="H81" s="28">
        <v>6860</v>
      </c>
      <c r="I81" s="37" t="s">
        <v>233</v>
      </c>
      <c r="J81" s="96">
        <v>45749</v>
      </c>
      <c r="K81" s="96">
        <v>45751</v>
      </c>
      <c r="L81" s="45">
        <v>3</v>
      </c>
      <c r="M81" s="120" t="str">
        <f>IF(H81="","",IF(COUNTIFS($H$4:$H$5217,H81,$J$4:$J$5217,"&lt;="&amp;K81,$K$4:$K$5217,"&gt;="&amp;J81)&gt;1,"TARİH ÇAKIŞMASI",""))</f>
        <v/>
      </c>
    </row>
    <row r="82" spans="8:13" x14ac:dyDescent="0.25">
      <c r="H82" s="28">
        <v>6860</v>
      </c>
      <c r="I82" s="37" t="s">
        <v>233</v>
      </c>
      <c r="J82" s="96">
        <v>45894</v>
      </c>
      <c r="K82" s="96">
        <v>45896</v>
      </c>
      <c r="L82" s="45">
        <v>3</v>
      </c>
      <c r="M82" s="120" t="str">
        <f>IF(H82="","",IF(COUNTIFS($H$4:$H$5217,H82,$J$4:$J$5217,"&lt;="&amp;K82,$K$4:$K$5217,"&gt;="&amp;J82)&gt;1,"TARİH ÇAKIŞMASI",""))</f>
        <v/>
      </c>
    </row>
    <row r="83" spans="8:13" x14ac:dyDescent="0.25">
      <c r="H83" s="28">
        <v>6860</v>
      </c>
      <c r="I83" s="37" t="s">
        <v>233</v>
      </c>
      <c r="J83" s="96">
        <v>46024</v>
      </c>
      <c r="K83" s="96">
        <v>46024</v>
      </c>
      <c r="L83" s="45">
        <v>1</v>
      </c>
      <c r="M83" s="120" t="str">
        <f>IF(H83="","",IF(COUNTIFS($H$4:$H$5217,H83,$J$4:$J$5217,"&lt;="&amp;K83,$K$4:$K$5217,"&gt;="&amp;J83)&gt;1,"TARİH ÇAKIŞMASI",""))</f>
        <v/>
      </c>
    </row>
    <row r="84" spans="8:13" x14ac:dyDescent="0.25">
      <c r="H84" s="28">
        <v>6860</v>
      </c>
      <c r="I84" s="37" t="s">
        <v>233</v>
      </c>
      <c r="J84" s="96">
        <v>46167</v>
      </c>
      <c r="K84" s="96">
        <v>46168</v>
      </c>
      <c r="L84" s="45">
        <v>1.5</v>
      </c>
      <c r="M84" s="120" t="str">
        <f>IF(H84="","",IF(COUNTIFS($H$4:$H$5217,H84,$J$4:$J$5217,"&lt;="&amp;K84,$K$4:$K$5217,"&gt;="&amp;J84)&gt;1,"TARİH ÇAKIŞMASI",""))</f>
        <v/>
      </c>
    </row>
    <row r="85" spans="8:13" x14ac:dyDescent="0.25">
      <c r="H85" s="28">
        <v>6860</v>
      </c>
      <c r="I85" s="37" t="s">
        <v>233</v>
      </c>
      <c r="J85" s="96">
        <v>46099</v>
      </c>
      <c r="K85" s="96">
        <v>46099</v>
      </c>
      <c r="L85" s="45">
        <v>1</v>
      </c>
      <c r="M85" s="120" t="str">
        <f>IF(H85="","",IF(COUNTIFS($H$4:$H$5217,H85,$J$4:$J$5217,"&lt;="&amp;K85,$K$4:$K$5217,"&gt;="&amp;J85)&gt;1,"TARİH ÇAKIŞMASI",""))</f>
        <v/>
      </c>
    </row>
    <row r="86" spans="8:13" x14ac:dyDescent="0.25">
      <c r="H86" s="28">
        <v>6860</v>
      </c>
      <c r="I86" s="37" t="s">
        <v>233</v>
      </c>
      <c r="J86" s="96">
        <v>46244</v>
      </c>
      <c r="K86" s="96">
        <v>46248</v>
      </c>
      <c r="L86" s="45">
        <v>5</v>
      </c>
      <c r="M86" s="120" t="str">
        <f>IF(H86="","",IF(COUNTIFS($H$4:$H$5217,H86,$J$4:$J$5217,"&lt;="&amp;K86,$K$4:$K$5217,"&gt;="&amp;J86)&gt;1,"TARİH ÇAKIŞMASI",""))</f>
        <v/>
      </c>
    </row>
  </sheetData>
  <autoFilter ref="G4:G86" xr:uid="{6513FAD7-BB42-46AC-B6F0-B1719D432A92}"/>
  <mergeCells count="1">
    <mergeCell ref="H2:I2"/>
  </mergeCells>
  <phoneticPr fontId="10" type="noConversion"/>
  <pageMargins left="0.7" right="0.7" top="0.75" bottom="0.75" header="0.3" footer="0.3"/>
  <pageSetup paperSize="9" scale="10"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3EAD8-1339-4A97-BB42-1A1112D7A84F}">
  <sheetPr codeName="Sayfa2">
    <tabColor rgb="FFFFFF00"/>
  </sheetPr>
  <dimension ref="A1:CC369"/>
  <sheetViews>
    <sheetView topLeftCell="A4" zoomScaleNormal="100" workbookViewId="0">
      <pane ySplit="1" topLeftCell="A5" activePane="bottomLeft" state="frozen"/>
      <selection activeCell="A4" sqref="A4"/>
      <selection pane="bottomLeft" activeCell="K24" sqref="K24"/>
    </sheetView>
  </sheetViews>
  <sheetFormatPr defaultColWidth="3.5703125" defaultRowHeight="15" x14ac:dyDescent="0.25"/>
  <cols>
    <col min="1" max="4" width="4.28515625" style="2" customWidth="1"/>
    <col min="5" max="5" width="4.5703125" style="2" customWidth="1"/>
    <col min="6" max="6" width="3.85546875" style="1" customWidth="1"/>
    <col min="7" max="7" width="13.28515625" style="1" customWidth="1"/>
    <col min="8" max="8" width="12.28515625" style="117" bestFit="1" customWidth="1"/>
    <col min="9" max="9" width="21.7109375" style="1" customWidth="1"/>
    <col min="10" max="10" width="21.7109375" style="1" hidden="1" customWidth="1"/>
    <col min="11" max="11" width="27.5703125" style="1" customWidth="1"/>
    <col min="12" max="12" width="15.28515625" style="94" customWidth="1"/>
    <col min="13" max="13" width="14" style="94" customWidth="1"/>
    <col min="14" max="15" width="9.42578125" style="1" customWidth="1"/>
    <col min="16" max="16" width="16.140625" style="1" customWidth="1"/>
    <col min="17" max="17" width="15.28515625" style="1" customWidth="1"/>
    <col min="18" max="18" width="11.28515625" style="1" customWidth="1"/>
    <col min="19" max="27" width="5" style="1" hidden="1" customWidth="1"/>
    <col min="28" max="42" width="5" style="1" customWidth="1"/>
    <col min="43" max="43" width="4.85546875" style="1" customWidth="1"/>
    <col min="44" max="50" width="5" style="1" customWidth="1"/>
    <col min="51" max="74" width="5" style="1" hidden="1" customWidth="1"/>
    <col min="75" max="75" width="13.85546875" style="1" bestFit="1" customWidth="1"/>
    <col min="76" max="79" width="3.5703125" style="1"/>
    <col min="80" max="81" width="9.28515625" style="1" bestFit="1" customWidth="1"/>
    <col min="82" max="16384" width="3.5703125" style="1"/>
  </cols>
  <sheetData>
    <row r="1" spans="7:81" ht="36" hidden="1" customHeight="1" x14ac:dyDescent="0.25"/>
    <row r="2" spans="7:81" hidden="1" x14ac:dyDescent="0.25">
      <c r="H2" s="208">
        <f ca="1">TODAY()</f>
        <v>46239</v>
      </c>
      <c r="I2" s="208"/>
      <c r="J2" s="67"/>
    </row>
    <row r="3" spans="7:81" hidden="1" x14ac:dyDescent="0.25"/>
    <row r="4" spans="7:81" ht="27.75" customHeight="1" x14ac:dyDescent="0.25">
      <c r="G4" s="59" t="s">
        <v>2241</v>
      </c>
      <c r="H4" s="30" t="s">
        <v>2</v>
      </c>
      <c r="I4" s="30" t="s">
        <v>3</v>
      </c>
      <c r="J4" s="30" t="s">
        <v>256</v>
      </c>
      <c r="K4" s="30" t="s">
        <v>287</v>
      </c>
      <c r="L4" s="95" t="s">
        <v>4</v>
      </c>
      <c r="M4" s="95" t="s">
        <v>5</v>
      </c>
      <c r="N4" s="30" t="s">
        <v>7</v>
      </c>
      <c r="O4" s="30" t="s">
        <v>6</v>
      </c>
      <c r="P4" s="30" t="s">
        <v>8</v>
      </c>
      <c r="Q4" s="30" t="s">
        <v>9</v>
      </c>
      <c r="R4" s="30" t="s">
        <v>10</v>
      </c>
      <c r="S4" s="27" t="s">
        <v>140</v>
      </c>
      <c r="T4" s="24" t="s">
        <v>141</v>
      </c>
      <c r="U4" s="24" t="s">
        <v>142</v>
      </c>
      <c r="V4" s="24" t="s">
        <v>143</v>
      </c>
      <c r="W4" s="24" t="s">
        <v>144</v>
      </c>
      <c r="X4" s="24" t="s">
        <v>145</v>
      </c>
      <c r="Y4" s="24" t="s">
        <v>146</v>
      </c>
      <c r="Z4" s="24" t="s">
        <v>147</v>
      </c>
      <c r="AA4" s="24" t="s">
        <v>148</v>
      </c>
      <c r="AB4" s="24" t="s">
        <v>149</v>
      </c>
      <c r="AC4" s="24" t="s">
        <v>150</v>
      </c>
      <c r="AD4" s="24" t="s">
        <v>151</v>
      </c>
      <c r="AE4" s="24" t="s">
        <v>152</v>
      </c>
      <c r="AF4" s="24" t="s">
        <v>153</v>
      </c>
      <c r="AG4" s="24" t="s">
        <v>154</v>
      </c>
      <c r="AH4" s="24" t="s">
        <v>155</v>
      </c>
      <c r="AI4" s="24" t="s">
        <v>156</v>
      </c>
      <c r="AJ4" s="24" t="s">
        <v>157</v>
      </c>
      <c r="AK4" s="24" t="s">
        <v>158</v>
      </c>
      <c r="AL4" s="24" t="s">
        <v>159</v>
      </c>
      <c r="AM4" s="24" t="s">
        <v>160</v>
      </c>
      <c r="AN4" s="24" t="s">
        <v>161</v>
      </c>
      <c r="AO4" s="24" t="s">
        <v>162</v>
      </c>
      <c r="AP4" s="24" t="s">
        <v>163</v>
      </c>
      <c r="AQ4" s="24" t="s">
        <v>164</v>
      </c>
      <c r="AR4" s="24" t="s">
        <v>165</v>
      </c>
      <c r="AS4" s="24" t="s">
        <v>166</v>
      </c>
      <c r="AT4" s="24" t="s">
        <v>167</v>
      </c>
      <c r="AU4" s="24" t="s">
        <v>1</v>
      </c>
      <c r="AV4" s="24" t="s">
        <v>168</v>
      </c>
      <c r="AW4" s="24" t="s">
        <v>169</v>
      </c>
      <c r="AX4" s="24" t="s">
        <v>170</v>
      </c>
      <c r="AY4" s="24" t="s">
        <v>171</v>
      </c>
      <c r="AZ4" s="24" t="s">
        <v>172</v>
      </c>
      <c r="BA4" s="24" t="s">
        <v>173</v>
      </c>
      <c r="BB4" s="24" t="s">
        <v>174</v>
      </c>
      <c r="BC4" s="24" t="s">
        <v>175</v>
      </c>
      <c r="BD4" s="24" t="s">
        <v>176</v>
      </c>
      <c r="BE4" s="24" t="s">
        <v>177</v>
      </c>
      <c r="BF4" s="24" t="s">
        <v>178</v>
      </c>
      <c r="BG4" s="24" t="s">
        <v>179</v>
      </c>
      <c r="BH4" s="24" t="s">
        <v>180</v>
      </c>
      <c r="BI4" s="24" t="s">
        <v>181</v>
      </c>
      <c r="BJ4" s="24" t="s">
        <v>182</v>
      </c>
      <c r="BK4" s="24" t="s">
        <v>183</v>
      </c>
      <c r="BL4" s="24" t="s">
        <v>184</v>
      </c>
      <c r="BM4" s="24" t="s">
        <v>185</v>
      </c>
      <c r="BN4" s="24" t="s">
        <v>186</v>
      </c>
      <c r="BO4" s="24" t="s">
        <v>187</v>
      </c>
      <c r="BP4" s="24" t="s">
        <v>188</v>
      </c>
      <c r="BQ4" s="24" t="s">
        <v>189</v>
      </c>
      <c r="BR4" s="24" t="s">
        <v>190</v>
      </c>
      <c r="BS4" s="24" t="s">
        <v>191</v>
      </c>
      <c r="BT4" s="24" t="s">
        <v>192</v>
      </c>
      <c r="BU4" s="24" t="s">
        <v>193</v>
      </c>
      <c r="BV4" s="24" t="s">
        <v>194</v>
      </c>
      <c r="BW4" s="31" t="s">
        <v>245</v>
      </c>
    </row>
    <row r="5" spans="7:81" x14ac:dyDescent="0.25">
      <c r="G5" s="38">
        <v>13508878460</v>
      </c>
      <c r="H5" s="118">
        <v>6280</v>
      </c>
      <c r="I5" s="290" t="s">
        <v>232</v>
      </c>
      <c r="J5" s="37">
        <f>Tablo3[[#This Row],[Sicil No]]</f>
        <v>6280</v>
      </c>
      <c r="K5" s="37" t="s">
        <v>207</v>
      </c>
      <c r="L5" s="60">
        <v>44830</v>
      </c>
      <c r="M5" s="60">
        <v>30952</v>
      </c>
      <c r="N5" s="34">
        <f ca="1">IF(Tablo3[[#This Row],[Doğum Tarihi]]="","",YEAR($H$2)-YEAR(Tablo3[[#This Row],[Doğum Tarihi]]))</f>
        <v>42</v>
      </c>
      <c r="O5" s="34">
        <f ca="1">IF(Tablo3[[#This Row],[Doğum Tarihi]]="","",DATEDIF(Tablo3[[#This Row],[İşe Giriş Tarihi]],$H$2,"Y"))</f>
        <v>3</v>
      </c>
      <c r="P5" s="35">
        <f ca="1">SUM(Tablo3[[#This Row],[1995]:[2050]])</f>
        <v>42</v>
      </c>
      <c r="Q5" s="35">
        <f>SUMIF(Tablo25[Sicil No],Tablo3[[#This Row],[Sicil No]],Tablo25[Toplam İzin Günü])</f>
        <v>51</v>
      </c>
      <c r="R5" s="36">
        <f ca="1">Tablo3[[#This Row],[Toplam Hakediş]]-Tablo3[[#This Row],[Kullanılan İzin]]</f>
        <v>-9</v>
      </c>
      <c r="S5" s="25" t="str">
        <f ca="1">IF(AND(INT(DATE(Veri2!A$1,MONTH($L5),DAY($L5))-DATE(YEAR($M5),MONTH($M5),DAY($M5)))/365.25&gt;=50,
IF(OR($I5="",$L5="",Veri2!A$1&lt;=YEAR($L5),Veri2!A$1&gt;YEAR(TODAY())),"",IF(AND(Veri2!A$1-YEAR($L5)&gt;=1,YEAR(TODAY())&lt;&gt;Veri2!A$1),
LOOKUP(VALUE("31"&amp;"."&amp;"12"&amp;"."&amp;Veri2!A$1)-$L5,{365,2190,5476},{14,20,26}),
IF(AND(YEAR(TODAY())=Veri2!A$1,TODAY()-VALUE(DAY($L5)&amp;"."&amp;MONTH($L5)&amp;"."&amp;YEAR(TODAY())-1)&gt;=365),
LOOKUP(VALUE(DAY(TODAY())&amp;"."&amp;MONTH(TODAY())&amp;"."&amp;Veri2!A$1)-$L5,{0,365,2190,5476},{0,14,20,26}),
IF(AND(YEAR(TODAY())=Veri2!A$1,TODAY()-VALUE(DAY($L5)&amp;"."&amp;MONTH($L5)&amp;"."&amp;YEAR(TODAY())-1)&lt;365),""))))=14),
IF(OR($I5="",$L5="",Veri2!A$1&lt;=YEAR($L5),Veri2!A$1&gt;YEAR(TODAY())),"",IF(AND(Veri2!A$1-YEAR($L5)&gt;=1,YEAR(TODAY())&lt;&gt;Veri2!A$1),
LOOKUP(VALUE("31"&amp;"."&amp;"12"&amp;"."&amp;Veri2!A$1)-$L5,{365,2190,5476},{20,20,26}),
IF(AND(YEAR(TODAY())=Veri2!A$1,TODAY()-VALUE(DAY($L5)&amp;"."&amp;MONTH($L5)&amp;"."&amp;YEAR(TODAY())-1)&gt;=365),
LOOKUP(VALUE(DAY(TODAY())&amp;"."&amp;MONTH(TODAY())&amp;"."&amp;Veri2!A$1)-$L5,{0,365,2190,5476},{0,20,20,26}),
IF(AND(YEAR(TODAY())=Veri2!A$1,TODAY()-VALUE(DAY($L5)&amp;"."&amp;MONTH($L5)&amp;"."&amp;YEAR(TODAY())-1)&lt;365),"")))),
IF(OR($I5="",$L5="",Veri2!A$1&lt;=YEAR($L5),Veri2!A$1&gt;YEAR(TODAY())),"",IF(AND(Veri2!A$1-YEAR($L5)&gt;=1,YEAR(TODAY())&lt;&gt;Veri2!A$1),
LOOKUP(VALUE("31"&amp;"."&amp;"12"&amp;"."&amp;Veri2!A$1)-$L5,{365,2190,5476},{14,20,26}),
IF(AND(YEAR(TODAY())=Veri2!A$1,TODAY()-VALUE(DAY($L5)&amp;"."&amp;MONTH($L5)&amp;"."&amp;YEAR(TODAY())-1)&gt;=365),
LOOKUP(VALUE(DAY(TODAY())&amp;"."&amp;MONTH(TODAY())&amp;"."&amp;Veri2!A$1)-$L5,{0,365,2190,5476},{0,14,20,26}),
IF(AND(YEAR(TODAY())=Veri2!A$1,TODAY()-VALUE(DAY($L5)&amp;"."&amp;MONTH($L5)&amp;"."&amp;YEAR(TODAY())-1)&lt;365),"")))))</f>
        <v/>
      </c>
      <c r="T5" s="25" t="str">
        <f ca="1">IF(AND(INT(DATE(Veri2!B$1,MONTH($L5),DAY($L5))-DATE(YEAR($M5),MONTH($M5),DAY($M5)))/365.25&gt;=50,
IF(OR($I5="",$L5="",Veri2!B$1&lt;=YEAR($L5),Veri2!B$1&gt;YEAR(TODAY())),"",IF(AND(Veri2!B$1-YEAR($L5)&gt;=1,YEAR(TODAY())&lt;&gt;Veri2!B$1),
LOOKUP(VALUE("31"&amp;"."&amp;"12"&amp;"."&amp;Veri2!B$1)-$L5,{365,2190,5476},{14,20,26}),
IF(AND(YEAR(TODAY())=Veri2!B$1,TODAY()-VALUE(DAY($L5)&amp;"."&amp;MONTH($L5)&amp;"."&amp;YEAR(TODAY())-1)&gt;=365),
LOOKUP(VALUE(DAY(TODAY())&amp;"."&amp;MONTH(TODAY())&amp;"."&amp;Veri2!B$1)-$L5,{0,365,2190,5476},{0,14,20,26}),
IF(AND(YEAR(TODAY())=Veri2!B$1,TODAY()-VALUE(DAY($L5)&amp;"."&amp;MONTH($L5)&amp;"."&amp;YEAR(TODAY())-1)&lt;365),""))))=14),
IF(OR($I5="",$L5="",Veri2!B$1&lt;=YEAR($L5),Veri2!B$1&gt;YEAR(TODAY())),"",IF(AND(Veri2!B$1-YEAR($L5)&gt;=1,YEAR(TODAY())&lt;&gt;Veri2!B$1),
LOOKUP(VALUE("31"&amp;"."&amp;"12"&amp;"."&amp;Veri2!B$1)-$L5,{365,2190,5476},{20,20,26}),
IF(AND(YEAR(TODAY())=Veri2!B$1,TODAY()-VALUE(DAY($L5)&amp;"."&amp;MONTH($L5)&amp;"."&amp;YEAR(TODAY())-1)&gt;=365),
LOOKUP(VALUE(DAY(TODAY())&amp;"."&amp;MONTH(TODAY())&amp;"."&amp;Veri2!B$1)-$L5,{0,365,2190,5476},{0,20,20,26}),
IF(AND(YEAR(TODAY())=Veri2!B$1,TODAY()-VALUE(DAY($L5)&amp;"."&amp;MONTH($L5)&amp;"."&amp;YEAR(TODAY())-1)&lt;365),"")))),
IF(OR($I5="",$L5="",Veri2!B$1&lt;=YEAR($L5),Veri2!B$1&gt;YEAR(TODAY())),"",IF(AND(Veri2!B$1-YEAR($L5)&gt;=1,YEAR(TODAY())&lt;&gt;Veri2!B$1),
LOOKUP(VALUE("31"&amp;"."&amp;"12"&amp;"."&amp;Veri2!B$1)-$L5,{365,2190,5476},{14,20,26}),
IF(AND(YEAR(TODAY())=Veri2!B$1,TODAY()-VALUE(DAY($L5)&amp;"."&amp;MONTH($L5)&amp;"."&amp;YEAR(TODAY())-1)&gt;=365),
LOOKUP(VALUE(DAY(TODAY())&amp;"."&amp;MONTH(TODAY())&amp;"."&amp;Veri2!B$1)-$L5,{0,365,2190,5476},{0,14,20,26}),
IF(AND(YEAR(TODAY())=Veri2!B$1,TODAY()-VALUE(DAY($L5)&amp;"."&amp;MONTH($L5)&amp;"."&amp;YEAR(TODAY())-1)&lt;365),"")))))</f>
        <v/>
      </c>
      <c r="U5" s="25" t="str">
        <f ca="1">IF(AND(INT(DATE(Veri2!C$1,MONTH($L5),DAY($L5))-DATE(YEAR($M5),MONTH($M5),DAY($M5)))/365.25&gt;=50,
IF(OR($I5="",$L5="",Veri2!C$1&lt;=YEAR($L5),Veri2!C$1&gt;YEAR(TODAY())),"",IF(AND(Veri2!C$1-YEAR($L5)&gt;=1,YEAR(TODAY())&lt;&gt;Veri2!C$1),
LOOKUP(VALUE("31"&amp;"."&amp;"12"&amp;"."&amp;Veri2!C$1)-$L5,{365,2190,5476},{14,20,26}),
IF(AND(YEAR(TODAY())=Veri2!C$1,TODAY()-VALUE(DAY($L5)&amp;"."&amp;MONTH($L5)&amp;"."&amp;YEAR(TODAY())-1)&gt;=365),
LOOKUP(VALUE(DAY(TODAY())&amp;"."&amp;MONTH(TODAY())&amp;"."&amp;Veri2!C$1)-$L5,{0,365,2190,5476},{0,14,20,26}),
IF(AND(YEAR(TODAY())=Veri2!C$1,TODAY()-VALUE(DAY($L5)&amp;"."&amp;MONTH($L5)&amp;"."&amp;YEAR(TODAY())-1)&lt;365),""))))=14),
IF(OR($I5="",$L5="",Veri2!C$1&lt;=YEAR($L5),Veri2!C$1&gt;YEAR(TODAY())),"",IF(AND(Veri2!C$1-YEAR($L5)&gt;=1,YEAR(TODAY())&lt;&gt;Veri2!C$1),
LOOKUP(VALUE("31"&amp;"."&amp;"12"&amp;"."&amp;Veri2!C$1)-$L5,{365,2190,5476},{20,20,26}),
IF(AND(YEAR(TODAY())=Veri2!C$1,TODAY()-VALUE(DAY($L5)&amp;"."&amp;MONTH($L5)&amp;"."&amp;YEAR(TODAY())-1)&gt;=365),
LOOKUP(VALUE(DAY(TODAY())&amp;"."&amp;MONTH(TODAY())&amp;"."&amp;Veri2!C$1)-$L5,{0,365,2190,5476},{0,20,20,26}),
IF(AND(YEAR(TODAY())=Veri2!C$1,TODAY()-VALUE(DAY($L5)&amp;"."&amp;MONTH($L5)&amp;"."&amp;YEAR(TODAY())-1)&lt;365),"")))),
IF(OR($I5="",$L5="",Veri2!C$1&lt;=YEAR($L5),Veri2!C$1&gt;YEAR(TODAY())),"",IF(AND(Veri2!C$1-YEAR($L5)&gt;=1,YEAR(TODAY())&lt;&gt;Veri2!C$1),
LOOKUP(VALUE("31"&amp;"."&amp;"12"&amp;"."&amp;Veri2!C$1)-$L5,{365,2190,5476},{14,20,26}),
IF(AND(YEAR(TODAY())=Veri2!C$1,TODAY()-VALUE(DAY($L5)&amp;"."&amp;MONTH($L5)&amp;"."&amp;YEAR(TODAY())-1)&gt;=365),
LOOKUP(VALUE(DAY(TODAY())&amp;"."&amp;MONTH(TODAY())&amp;"."&amp;Veri2!C$1)-$L5,{0,365,2190,5476},{0,14,20,26}),
IF(AND(YEAR(TODAY())=Veri2!C$1,TODAY()-VALUE(DAY($L5)&amp;"."&amp;MONTH($L5)&amp;"."&amp;YEAR(TODAY())-1)&lt;365),"")))))</f>
        <v/>
      </c>
      <c r="V5" s="25" t="str">
        <f ca="1">IF(AND(INT(DATE(Veri2!D$1,MONTH($L5),DAY($L5))-DATE(YEAR($M5),MONTH($M5),DAY($M5)))/365.25&gt;=50,
IF(OR($I5="",$L5="",Veri2!D$1&lt;=YEAR($L5),Veri2!D$1&gt;YEAR(TODAY())),"",IF(AND(Veri2!D$1-YEAR($L5)&gt;=1,YEAR(TODAY())&lt;&gt;Veri2!D$1),
LOOKUP(VALUE("31"&amp;"."&amp;"12"&amp;"."&amp;Veri2!D$1)-$L5,{365,2190,5476},{14,20,26}),
IF(AND(YEAR(TODAY())=Veri2!D$1,TODAY()-VALUE(DAY($L5)&amp;"."&amp;MONTH($L5)&amp;"."&amp;YEAR(TODAY())-1)&gt;=365),
LOOKUP(VALUE(DAY(TODAY())&amp;"."&amp;MONTH(TODAY())&amp;"."&amp;Veri2!D$1)-$L5,{0,365,2190,5476},{0,14,20,26}),
IF(AND(YEAR(TODAY())=Veri2!D$1,TODAY()-VALUE(DAY($L5)&amp;"."&amp;MONTH($L5)&amp;"."&amp;YEAR(TODAY())-1)&lt;365),""))))=14),
IF(OR($I5="",$L5="",Veri2!D$1&lt;=YEAR($L5),Veri2!D$1&gt;YEAR(TODAY())),"",IF(AND(Veri2!D$1-YEAR($L5)&gt;=1,YEAR(TODAY())&lt;&gt;Veri2!D$1),
LOOKUP(VALUE("31"&amp;"."&amp;"12"&amp;"."&amp;Veri2!D$1)-$L5,{365,2190,5476},{20,20,26}),
IF(AND(YEAR(TODAY())=Veri2!D$1,TODAY()-VALUE(DAY($L5)&amp;"."&amp;MONTH($L5)&amp;"."&amp;YEAR(TODAY())-1)&gt;=365),
LOOKUP(VALUE(DAY(TODAY())&amp;"."&amp;MONTH(TODAY())&amp;"."&amp;Veri2!D$1)-$L5,{0,365,2190,5476},{0,20,20,26}),
IF(AND(YEAR(TODAY())=Veri2!D$1,TODAY()-VALUE(DAY($L5)&amp;"."&amp;MONTH($L5)&amp;"."&amp;YEAR(TODAY())-1)&lt;365),"")))),
IF(OR($I5="",$L5="",Veri2!D$1&lt;=YEAR($L5),Veri2!D$1&gt;YEAR(TODAY())),"",IF(AND(Veri2!D$1-YEAR($L5)&gt;=1,YEAR(TODAY())&lt;&gt;Veri2!D$1),
LOOKUP(VALUE("31"&amp;"."&amp;"12"&amp;"."&amp;Veri2!D$1)-$L5,{365,2190,5476},{14,20,26}),
IF(AND(YEAR(TODAY())=Veri2!D$1,TODAY()-VALUE(DAY($L5)&amp;"."&amp;MONTH($L5)&amp;"."&amp;YEAR(TODAY())-1)&gt;=365),
LOOKUP(VALUE(DAY(TODAY())&amp;"."&amp;MONTH(TODAY())&amp;"."&amp;Veri2!D$1)-$L5,{0,365,2190,5476},{0,14,20,26}),
IF(AND(YEAR(TODAY())=Veri2!D$1,TODAY()-VALUE(DAY($L5)&amp;"."&amp;MONTH($L5)&amp;"."&amp;YEAR(TODAY())-1)&lt;365),"")))))</f>
        <v/>
      </c>
      <c r="W5" s="25" t="str">
        <f ca="1">IF(AND(INT(DATE(Veri2!E$1,MONTH($L5),DAY($L5))-DATE(YEAR($M5),MONTH($M5),DAY($M5)))/365.25&gt;=50,
IF(OR($I5="",$L5="",Veri2!E$1&lt;=YEAR($L5),Veri2!E$1&gt;YEAR(TODAY())),"",IF(AND(Veri2!E$1-YEAR($L5)&gt;=1,YEAR(TODAY())&lt;&gt;Veri2!E$1),
LOOKUP(VALUE("31"&amp;"."&amp;"12"&amp;"."&amp;Veri2!E$1)-$L5,{365,2190,5476},{14,20,26}),
IF(AND(YEAR(TODAY())=Veri2!E$1,TODAY()-VALUE(DAY($L5)&amp;"."&amp;MONTH($L5)&amp;"."&amp;YEAR(TODAY())-1)&gt;=365),
LOOKUP(VALUE(DAY(TODAY())&amp;"."&amp;MONTH(TODAY())&amp;"."&amp;Veri2!E$1)-$L5,{0,365,2190,5476},{0,14,20,26}),
IF(AND(YEAR(TODAY())=Veri2!E$1,TODAY()-VALUE(DAY($L5)&amp;"."&amp;MONTH($L5)&amp;"."&amp;YEAR(TODAY())-1)&lt;365),""))))=14),
IF(OR($I5="",$L5="",Veri2!E$1&lt;=YEAR($L5),Veri2!E$1&gt;YEAR(TODAY())),"",IF(AND(Veri2!E$1-YEAR($L5)&gt;=1,YEAR(TODAY())&lt;&gt;Veri2!E$1),
LOOKUP(VALUE("31"&amp;"."&amp;"12"&amp;"."&amp;Veri2!E$1)-$L5,{365,2190,5476},{20,20,26}),
IF(AND(YEAR(TODAY())=Veri2!E$1,TODAY()-VALUE(DAY($L5)&amp;"."&amp;MONTH($L5)&amp;"."&amp;YEAR(TODAY())-1)&gt;=365),
LOOKUP(VALUE(DAY(TODAY())&amp;"."&amp;MONTH(TODAY())&amp;"."&amp;Veri2!E$1)-$L5,{0,365,2190,5476},{0,20,20,26}),
IF(AND(YEAR(TODAY())=Veri2!E$1,TODAY()-VALUE(DAY($L5)&amp;"."&amp;MONTH($L5)&amp;"."&amp;YEAR(TODAY())-1)&lt;365),"")))),
IF(OR($I5="",$L5="",Veri2!E$1&lt;=YEAR($L5),Veri2!E$1&gt;YEAR(TODAY())),"",IF(AND(Veri2!E$1-YEAR($L5)&gt;=1,YEAR(TODAY())&lt;&gt;Veri2!E$1),
LOOKUP(VALUE("31"&amp;"."&amp;"12"&amp;"."&amp;Veri2!E$1)-$L5,{365,2190,5476},{14,20,26}),
IF(AND(YEAR(TODAY())=Veri2!E$1,TODAY()-VALUE(DAY($L5)&amp;"."&amp;MONTH($L5)&amp;"."&amp;YEAR(TODAY())-1)&gt;=365),
LOOKUP(VALUE(DAY(TODAY())&amp;"."&amp;MONTH(TODAY())&amp;"."&amp;Veri2!E$1)-$L5,{0,365,2190,5476},{0,14,20,26}),
IF(AND(YEAR(TODAY())=Veri2!E$1,TODAY()-VALUE(DAY($L5)&amp;"."&amp;MONTH($L5)&amp;"."&amp;YEAR(TODAY())-1)&lt;365),"")))))</f>
        <v/>
      </c>
      <c r="X5" s="25" t="str">
        <f ca="1">IF(AND(INT(DATE(Veri2!F$1,MONTH($L5),DAY($L5))-DATE(YEAR($M5),MONTH($M5),DAY($M5)))/365.25&gt;=50,
IF(OR($I5="",$L5="",Veri2!F$1&lt;=YEAR($L5),Veri2!F$1&gt;YEAR(TODAY())),"",IF(AND(Veri2!F$1-YEAR($L5)&gt;=1,YEAR(TODAY())&lt;&gt;Veri2!F$1),
LOOKUP(VALUE("31"&amp;"."&amp;"12"&amp;"."&amp;Veri2!F$1)-$L5,{365,2190,5476},{14,20,26}),
IF(AND(YEAR(TODAY())=Veri2!F$1,TODAY()-VALUE(DAY($L5)&amp;"."&amp;MONTH($L5)&amp;"."&amp;YEAR(TODAY())-1)&gt;=365),
LOOKUP(VALUE(DAY(TODAY())&amp;"."&amp;MONTH(TODAY())&amp;"."&amp;Veri2!F$1)-$L5,{0,365,2190,5476},{0,14,20,26}),
IF(AND(YEAR(TODAY())=Veri2!F$1,TODAY()-VALUE(DAY($L5)&amp;"."&amp;MONTH($L5)&amp;"."&amp;YEAR(TODAY())-1)&lt;365),""))))=14),
IF(OR($I5="",$L5="",Veri2!F$1&lt;=YEAR($L5),Veri2!F$1&gt;YEAR(TODAY())),"",IF(AND(Veri2!F$1-YEAR($L5)&gt;=1,YEAR(TODAY())&lt;&gt;Veri2!F$1),
LOOKUP(VALUE("31"&amp;"."&amp;"12"&amp;"."&amp;Veri2!F$1)-$L5,{365,2190,5476},{20,20,26}),
IF(AND(YEAR(TODAY())=Veri2!F$1,TODAY()-VALUE(DAY($L5)&amp;"."&amp;MONTH($L5)&amp;"."&amp;YEAR(TODAY())-1)&gt;=365),
LOOKUP(VALUE(DAY(TODAY())&amp;"."&amp;MONTH(TODAY())&amp;"."&amp;Veri2!F$1)-$L5,{0,365,2190,5476},{0,20,20,26}),
IF(AND(YEAR(TODAY())=Veri2!F$1,TODAY()-VALUE(DAY($L5)&amp;"."&amp;MONTH($L5)&amp;"."&amp;YEAR(TODAY())-1)&lt;365),"")))),
IF(OR($I5="",$L5="",Veri2!F$1&lt;=YEAR($L5),Veri2!F$1&gt;YEAR(TODAY())),"",IF(AND(Veri2!F$1-YEAR($L5)&gt;=1,YEAR(TODAY())&lt;&gt;Veri2!F$1),
LOOKUP(VALUE("31"&amp;"."&amp;"12"&amp;"."&amp;Veri2!F$1)-$L5,{365,2190,5476},{14,20,26}),
IF(AND(YEAR(TODAY())=Veri2!F$1,TODAY()-VALUE(DAY($L5)&amp;"."&amp;MONTH($L5)&amp;"."&amp;YEAR(TODAY())-1)&gt;=365),
LOOKUP(VALUE(DAY(TODAY())&amp;"."&amp;MONTH(TODAY())&amp;"."&amp;Veri2!F$1)-$L5,{0,365,2190,5476},{0,14,20,26}),
IF(AND(YEAR(TODAY())=Veri2!F$1,TODAY()-VALUE(DAY($L5)&amp;"."&amp;MONTH($L5)&amp;"."&amp;YEAR(TODAY())-1)&lt;365),"")))))</f>
        <v/>
      </c>
      <c r="Y5" s="25" t="str">
        <f ca="1">IF(AND(INT(DATE(Veri2!G$1,MONTH($L5),DAY($L5))-DATE(YEAR($M5),MONTH($M5),DAY($M5)))/365.25&gt;=50,
IF(OR($I5="",$L5="",Veri2!G$1&lt;=YEAR($L5),Veri2!G$1&gt;YEAR(TODAY())),"",IF(AND(Veri2!G$1-YEAR($L5)&gt;=1,YEAR(TODAY())&lt;&gt;Veri2!G$1),
LOOKUP(VALUE("31"&amp;"."&amp;"12"&amp;"."&amp;Veri2!G$1)-$L5,{365,2190,5476},{14,20,26}),
IF(AND(YEAR(TODAY())=Veri2!G$1,TODAY()-VALUE(DAY($L5)&amp;"."&amp;MONTH($L5)&amp;"."&amp;YEAR(TODAY())-1)&gt;=365),
LOOKUP(VALUE(DAY(TODAY())&amp;"."&amp;MONTH(TODAY())&amp;"."&amp;Veri2!G$1)-$L5,{0,365,2190,5476},{0,14,20,26}),
IF(AND(YEAR(TODAY())=Veri2!G$1,TODAY()-VALUE(DAY($L5)&amp;"."&amp;MONTH($L5)&amp;"."&amp;YEAR(TODAY())-1)&lt;365),""))))=14),
IF(OR($I5="",$L5="",Veri2!G$1&lt;=YEAR($L5),Veri2!G$1&gt;YEAR(TODAY())),"",IF(AND(Veri2!G$1-YEAR($L5)&gt;=1,YEAR(TODAY())&lt;&gt;Veri2!G$1),
LOOKUP(VALUE("31"&amp;"."&amp;"12"&amp;"."&amp;Veri2!G$1)-$L5,{365,2190,5476},{20,20,26}),
IF(AND(YEAR(TODAY())=Veri2!G$1,TODAY()-VALUE(DAY($L5)&amp;"."&amp;MONTH($L5)&amp;"."&amp;YEAR(TODAY())-1)&gt;=365),
LOOKUP(VALUE(DAY(TODAY())&amp;"."&amp;MONTH(TODAY())&amp;"."&amp;Veri2!G$1)-$L5,{0,365,2190,5476},{0,20,20,26}),
IF(AND(YEAR(TODAY())=Veri2!G$1,TODAY()-VALUE(DAY($L5)&amp;"."&amp;MONTH($L5)&amp;"."&amp;YEAR(TODAY())-1)&lt;365),"")))),
IF(OR($I5="",$L5="",Veri2!G$1&lt;=YEAR($L5),Veri2!G$1&gt;YEAR(TODAY())),"",IF(AND(Veri2!G$1-YEAR($L5)&gt;=1,YEAR(TODAY())&lt;&gt;Veri2!G$1),
LOOKUP(VALUE("31"&amp;"."&amp;"12"&amp;"."&amp;Veri2!G$1)-$L5,{365,2190,5476},{14,20,26}),
IF(AND(YEAR(TODAY())=Veri2!G$1,TODAY()-VALUE(DAY($L5)&amp;"."&amp;MONTH($L5)&amp;"."&amp;YEAR(TODAY())-1)&gt;=365),
LOOKUP(VALUE(DAY(TODAY())&amp;"."&amp;MONTH(TODAY())&amp;"."&amp;Veri2!G$1)-$L5,{0,365,2190,5476},{0,14,20,26}),
IF(AND(YEAR(TODAY())=Veri2!G$1,TODAY()-VALUE(DAY($L5)&amp;"."&amp;MONTH($L5)&amp;"."&amp;YEAR(TODAY())-1)&lt;365),"")))))</f>
        <v/>
      </c>
      <c r="Z5" s="25" t="str">
        <f ca="1">IF(AND(INT(DATE(Veri2!H$1,MONTH($L5),DAY($L5))-DATE(YEAR($M5),MONTH($M5),DAY($M5)))/365.25&gt;=50,
IF(OR($I5="",$L5="",Veri2!H$1&lt;=YEAR($L5),Veri2!H$1&gt;YEAR(TODAY())),"",IF(AND(Veri2!H$1-YEAR($L5)&gt;=1,YEAR(TODAY())&lt;&gt;Veri2!H$1),
LOOKUP(VALUE("31"&amp;"."&amp;"12"&amp;"."&amp;Veri2!H$1)-$L5,{365,2190,5476},{14,20,26}),
IF(AND(YEAR(TODAY())=Veri2!H$1,TODAY()-VALUE(DAY($L5)&amp;"."&amp;MONTH($L5)&amp;"."&amp;YEAR(TODAY())-1)&gt;=365),
LOOKUP(VALUE(DAY(TODAY())&amp;"."&amp;MONTH(TODAY())&amp;"."&amp;Veri2!H$1)-$L5,{0,365,2190,5476},{0,14,20,26}),
IF(AND(YEAR(TODAY())=Veri2!H$1,TODAY()-VALUE(DAY($L5)&amp;"."&amp;MONTH($L5)&amp;"."&amp;YEAR(TODAY())-1)&lt;365),""))))=14),
IF(OR($I5="",$L5="",Veri2!H$1&lt;=YEAR($L5),Veri2!H$1&gt;YEAR(TODAY())),"",IF(AND(Veri2!H$1-YEAR($L5)&gt;=1,YEAR(TODAY())&lt;&gt;Veri2!H$1),
LOOKUP(VALUE("31"&amp;"."&amp;"12"&amp;"."&amp;Veri2!H$1)-$L5,{365,2190,5476},{20,20,26}),
IF(AND(YEAR(TODAY())=Veri2!H$1,TODAY()-VALUE(DAY($L5)&amp;"."&amp;MONTH($L5)&amp;"."&amp;YEAR(TODAY())-1)&gt;=365),
LOOKUP(VALUE(DAY(TODAY())&amp;"."&amp;MONTH(TODAY())&amp;"."&amp;Veri2!H$1)-$L5,{0,365,2190,5476},{0,20,20,26}),
IF(AND(YEAR(TODAY())=Veri2!H$1,TODAY()-VALUE(DAY($L5)&amp;"."&amp;MONTH($L5)&amp;"."&amp;YEAR(TODAY())-1)&lt;365),"")))),
IF(OR($I5="",$L5="",Veri2!H$1&lt;=YEAR($L5),Veri2!H$1&gt;YEAR(TODAY())),"",IF(AND(Veri2!H$1-YEAR($L5)&gt;=1,YEAR(TODAY())&lt;&gt;Veri2!H$1),
LOOKUP(VALUE("31"&amp;"."&amp;"12"&amp;"."&amp;Veri2!H$1)-$L5,{365,2190,5476},{14,20,26}),
IF(AND(YEAR(TODAY())=Veri2!H$1,TODAY()-VALUE(DAY($L5)&amp;"."&amp;MONTH($L5)&amp;"."&amp;YEAR(TODAY())-1)&gt;=365),
LOOKUP(VALUE(DAY(TODAY())&amp;"."&amp;MONTH(TODAY())&amp;"."&amp;Veri2!H$1)-$L5,{0,365,2190,5476},{0,14,20,26}),
IF(AND(YEAR(TODAY())=Veri2!H$1,TODAY()-VALUE(DAY($L5)&amp;"."&amp;MONTH($L5)&amp;"."&amp;YEAR(TODAY())-1)&lt;365),"")))))</f>
        <v/>
      </c>
      <c r="AA5" s="25" t="str">
        <f ca="1">IF(AND(INT(DATE(Veri2!I$1,MONTH($L5),DAY($L5))-DATE(YEAR($M5),MONTH($M5),DAY($M5)))/365.25&gt;=50,
IF(OR($I5="",$L5="",Veri2!I$1&lt;=YEAR($L5),Veri2!I$1&gt;YEAR(TODAY())),"",IF(AND(Veri2!I$1-YEAR($L5)&gt;=1,YEAR(TODAY())&lt;&gt;Veri2!I$1),
LOOKUP(VALUE("31"&amp;"."&amp;"12"&amp;"."&amp;Veri2!I$1)-$L5,{365,2190,5476},{14,20,26}),
IF(AND(YEAR(TODAY())=Veri2!I$1,TODAY()-VALUE(DAY($L5)&amp;"."&amp;MONTH($L5)&amp;"."&amp;YEAR(TODAY())-1)&gt;=365),
LOOKUP(VALUE(DAY(TODAY())&amp;"."&amp;MONTH(TODAY())&amp;"."&amp;Veri2!I$1)-$L5,{0,365,2190,5476},{0,14,20,26}),
IF(AND(YEAR(TODAY())=Veri2!I$1,TODAY()-VALUE(DAY($L5)&amp;"."&amp;MONTH($L5)&amp;"."&amp;YEAR(TODAY())-1)&lt;365),""))))=14),
IF(OR($I5="",$L5="",Veri2!I$1&lt;=YEAR($L5),Veri2!I$1&gt;YEAR(TODAY())),"",IF(AND(Veri2!I$1-YEAR($L5)&gt;=1,YEAR(TODAY())&lt;&gt;Veri2!I$1),
LOOKUP(VALUE("31"&amp;"."&amp;"12"&amp;"."&amp;Veri2!I$1)-$L5,{365,2190,5476},{20,20,26}),
IF(AND(YEAR(TODAY())=Veri2!I$1,TODAY()-VALUE(DAY($L5)&amp;"."&amp;MONTH($L5)&amp;"."&amp;YEAR(TODAY())-1)&gt;=365),
LOOKUP(VALUE(DAY(TODAY())&amp;"."&amp;MONTH(TODAY())&amp;"."&amp;Veri2!I$1)-$L5,{0,365,2190,5476},{0,20,20,26}),
IF(AND(YEAR(TODAY())=Veri2!I$1,TODAY()-VALUE(DAY($L5)&amp;"."&amp;MONTH($L5)&amp;"."&amp;YEAR(TODAY())-1)&lt;365),"")))),
IF(OR($I5="",$L5="",Veri2!I$1&lt;=YEAR($L5),Veri2!I$1&gt;YEAR(TODAY())),"",IF(AND(Veri2!I$1-YEAR($L5)&gt;=1,YEAR(TODAY())&lt;&gt;Veri2!I$1),
LOOKUP(VALUE("31"&amp;"."&amp;"12"&amp;"."&amp;Veri2!I$1)-$L5,{365,2190,5476},{14,20,26}),
IF(AND(YEAR(TODAY())=Veri2!I$1,TODAY()-VALUE(DAY($L5)&amp;"."&amp;MONTH($L5)&amp;"."&amp;YEAR(TODAY())-1)&gt;=365),
LOOKUP(VALUE(DAY(TODAY())&amp;"."&amp;MONTH(TODAY())&amp;"."&amp;Veri2!I$1)-$L5,{0,365,2190,5476},{0,14,20,26}),
IF(AND(YEAR(TODAY())=Veri2!I$1,TODAY()-VALUE(DAY($L5)&amp;"."&amp;MONTH($L5)&amp;"."&amp;YEAR(TODAY())-1)&lt;365),"")))))</f>
        <v/>
      </c>
      <c r="AB5" s="48" t="str">
        <f ca="1">IF(AND(INT(DATE(Veri2!J$1,MONTH($L5),DAY($L5))-DATE(YEAR($M5),MONTH($M5),DAY($M5)))/365.25&gt;=50,
IF(OR($I5="",$L5="",Veri2!J$1&lt;=YEAR($L5),Veri2!J$1&gt;YEAR(TODAY())),"",IF(AND(Veri2!J$1-YEAR($L5)&gt;=1,YEAR(TODAY())&lt;&gt;Veri2!J$1),
LOOKUP(VALUE("31"&amp;"."&amp;"12"&amp;"."&amp;Veri2!J$1)-$L5,{365,2190,5476},{14,20,26}),
IF(AND(YEAR(TODAY())=Veri2!J$1,TODAY()-VALUE(DAY($L5)&amp;"."&amp;MONTH($L5)&amp;"."&amp;YEAR(TODAY())-1)&gt;=365),
LOOKUP(VALUE(DAY(TODAY())&amp;"."&amp;MONTH(TODAY())&amp;"."&amp;Veri2!J$1)-$L5,{0,365,2190,5476},{0,14,20,26}),
IF(AND(YEAR(TODAY())=Veri2!J$1,TODAY()-VALUE(DAY($L5)&amp;"."&amp;MONTH($L5)&amp;"."&amp;YEAR(TODAY())-1)&lt;365),""))))=14),
IF(OR($I5="",$L5="",Veri2!J$1&lt;=YEAR($L5),Veri2!J$1&gt;YEAR(TODAY())),"",IF(AND(Veri2!J$1-YEAR($L5)&gt;=1,YEAR(TODAY())&lt;&gt;Veri2!J$1),
LOOKUP(VALUE("31"&amp;"."&amp;"12"&amp;"."&amp;Veri2!J$1)-$L5,{365,2190,5476},{20,20,26}),
IF(AND(YEAR(TODAY())=Veri2!J$1,TODAY()-VALUE(DAY($L5)&amp;"."&amp;MONTH($L5)&amp;"."&amp;YEAR(TODAY())-1)&gt;=365),
LOOKUP(VALUE(DAY(TODAY())&amp;"."&amp;MONTH(TODAY())&amp;"."&amp;Veri2!J$1)-$L5,{0,365,2190,5476},{0,20,20,26}),
IF(AND(YEAR(TODAY())=Veri2!J$1,TODAY()-VALUE(DAY($L5)&amp;"."&amp;MONTH($L5)&amp;"."&amp;YEAR(TODAY())-1)&lt;365),"")))),
IF(OR($I5="",$L5="",Veri2!J$1&lt;=YEAR($L5),Veri2!J$1&gt;YEAR(TODAY())),"",IF(AND(Veri2!J$1-YEAR($L5)&gt;=1,YEAR(TODAY())&lt;&gt;Veri2!J$1),
LOOKUP(VALUE("31"&amp;"."&amp;"12"&amp;"."&amp;Veri2!J$1)-$L5,{365,2190,5476},{14,20,26}),
IF(AND(YEAR(TODAY())=Veri2!J$1,TODAY()-VALUE(DAY($L5)&amp;"."&amp;MONTH($L5)&amp;"."&amp;YEAR(TODAY())-1)&gt;=365),
LOOKUP(VALUE(DAY(TODAY())&amp;"."&amp;MONTH(TODAY())&amp;"."&amp;Veri2!J$1)-$L5,{0,365,2190,5476},{0,14,20,26}),
IF(AND(YEAR(TODAY())=Veri2!J$1,TODAY()-VALUE(DAY($L5)&amp;"."&amp;MONTH($L5)&amp;"."&amp;YEAR(TODAY())-1)&lt;365),"")))))</f>
        <v/>
      </c>
      <c r="AC5" s="48" t="str">
        <f ca="1">IF(AND(INT(DATE(Veri2!K$1,MONTH($L5),DAY($L5))-DATE(YEAR($M5),MONTH($M5),DAY($M5)))/365.25&gt;=50,
IF(OR($I5="",$L5="",Veri2!K$1&lt;=YEAR($L5),Veri2!K$1&gt;YEAR(TODAY())),"",IF(AND(Veri2!K$1-YEAR($L5)&gt;=1,YEAR(TODAY())&lt;&gt;Veri2!K$1),
LOOKUP(VALUE("31"&amp;"."&amp;"12"&amp;"."&amp;Veri2!K$1)-$L5,{365,2190,5476},{14,20,26}),
IF(AND(YEAR(TODAY())=Veri2!K$1,TODAY()-VALUE(DAY($L5)&amp;"."&amp;MONTH($L5)&amp;"."&amp;YEAR(TODAY())-1)&gt;=365),
LOOKUP(VALUE(DAY(TODAY())&amp;"."&amp;MONTH(TODAY())&amp;"."&amp;Veri2!K$1)-$L5,{0,365,2190,5476},{0,14,20,26}),
IF(AND(YEAR(TODAY())=Veri2!K$1,TODAY()-VALUE(DAY($L5)&amp;"."&amp;MONTH($L5)&amp;"."&amp;YEAR(TODAY())-1)&lt;365),""))))=14),
IF(OR($I5="",$L5="",Veri2!K$1&lt;=YEAR($L5),Veri2!K$1&gt;YEAR(TODAY())),"",IF(AND(Veri2!K$1-YEAR($L5)&gt;=1,YEAR(TODAY())&lt;&gt;Veri2!K$1),
LOOKUP(VALUE("31"&amp;"."&amp;"12"&amp;"."&amp;Veri2!K$1)-$L5,{365,2190,5476},{20,20,26}),
IF(AND(YEAR(TODAY())=Veri2!K$1,TODAY()-VALUE(DAY($L5)&amp;"."&amp;MONTH($L5)&amp;"."&amp;YEAR(TODAY())-1)&gt;=365),
LOOKUP(VALUE(DAY(TODAY())&amp;"."&amp;MONTH(TODAY())&amp;"."&amp;Veri2!K$1)-$L5,{0,365,2190,5476},{0,20,20,26}),
IF(AND(YEAR(TODAY())=Veri2!K$1,TODAY()-VALUE(DAY($L5)&amp;"."&amp;MONTH($L5)&amp;"."&amp;YEAR(TODAY())-1)&lt;365),"")))),
IF(OR($I5="",$L5="",Veri2!K$1&lt;=YEAR($L5),Veri2!K$1&gt;YEAR(TODAY())),"",IF(AND(Veri2!K$1-YEAR($L5)&gt;=1,YEAR(TODAY())&lt;&gt;Veri2!K$1),
LOOKUP(VALUE("31"&amp;"."&amp;"12"&amp;"."&amp;Veri2!K$1)-$L5,{365,2190,5476},{14,20,26}),
IF(AND(YEAR(TODAY())=Veri2!K$1,TODAY()-VALUE(DAY($L5)&amp;"."&amp;MONTH($L5)&amp;"."&amp;YEAR(TODAY())-1)&gt;=365),
LOOKUP(VALUE(DAY(TODAY())&amp;"."&amp;MONTH(TODAY())&amp;"."&amp;Veri2!K$1)-$L5,{0,365,2190,5476},{0,14,20,26}),
IF(AND(YEAR(TODAY())=Veri2!K$1,TODAY()-VALUE(DAY($L5)&amp;"."&amp;MONTH($L5)&amp;"."&amp;YEAR(TODAY())-1)&lt;365),"")))))</f>
        <v/>
      </c>
      <c r="AD5" s="48" t="str">
        <f ca="1">IF(AND(INT(DATE(Veri2!L$1,MONTH($L5),DAY($L5))-DATE(YEAR($M5),MONTH($M5),DAY($M5)))/365.25&gt;=50,
IF(OR($I5="",$L5="",Veri2!L$1&lt;=YEAR($L5),Veri2!L$1&gt;YEAR(TODAY())),"",IF(AND(Veri2!L$1-YEAR($L5)&gt;=1,YEAR(TODAY())&lt;&gt;Veri2!L$1),
LOOKUP(VALUE("31"&amp;"."&amp;"12"&amp;"."&amp;Veri2!L$1)-$L5,{365,2190,5476},{14,20,26}),
IF(AND(YEAR(TODAY())=Veri2!L$1,TODAY()-VALUE(DAY($L5)&amp;"."&amp;MONTH($L5)&amp;"."&amp;YEAR(TODAY())-1)&gt;=365),
LOOKUP(VALUE(DAY(TODAY())&amp;"."&amp;MONTH(TODAY())&amp;"."&amp;Veri2!L$1)-$L5,{0,365,2190,5476},{0,14,20,26}),
IF(AND(YEAR(TODAY())=Veri2!L$1,TODAY()-VALUE(DAY($L5)&amp;"."&amp;MONTH($L5)&amp;"."&amp;YEAR(TODAY())-1)&lt;365),""))))=14),
IF(OR($I5="",$L5="",Veri2!L$1&lt;=YEAR($L5),Veri2!L$1&gt;YEAR(TODAY())),"",IF(AND(Veri2!L$1-YEAR($L5)&gt;=1,YEAR(TODAY())&lt;&gt;Veri2!L$1),
LOOKUP(VALUE("31"&amp;"."&amp;"12"&amp;"."&amp;Veri2!L$1)-$L5,{365,2190,5476},{20,20,26}),
IF(AND(YEAR(TODAY())=Veri2!L$1,TODAY()-VALUE(DAY($L5)&amp;"."&amp;MONTH($L5)&amp;"."&amp;YEAR(TODAY())-1)&gt;=365),
LOOKUP(VALUE(DAY(TODAY())&amp;"."&amp;MONTH(TODAY())&amp;"."&amp;Veri2!L$1)-$L5,{0,365,2190,5476},{0,20,20,26}),
IF(AND(YEAR(TODAY())=Veri2!L$1,TODAY()-VALUE(DAY($L5)&amp;"."&amp;MONTH($L5)&amp;"."&amp;YEAR(TODAY())-1)&lt;365),"")))),
IF(OR($I5="",$L5="",Veri2!L$1&lt;=YEAR($L5),Veri2!L$1&gt;YEAR(TODAY())),"",IF(AND(Veri2!L$1-YEAR($L5)&gt;=1,YEAR(TODAY())&lt;&gt;Veri2!L$1),
LOOKUP(VALUE("31"&amp;"."&amp;"12"&amp;"."&amp;Veri2!L$1)-$L5,{365,2190,5476},{14,20,26}),
IF(AND(YEAR(TODAY())=Veri2!L$1,TODAY()-VALUE(DAY($L5)&amp;"."&amp;MONTH($L5)&amp;"."&amp;YEAR(TODAY())-1)&gt;=365),
LOOKUP(VALUE(DAY(TODAY())&amp;"."&amp;MONTH(TODAY())&amp;"."&amp;Veri2!L$1)-$L5,{0,365,2190,5476},{0,14,20,26}),
IF(AND(YEAR(TODAY())=Veri2!L$1,TODAY()-VALUE(DAY($L5)&amp;"."&amp;MONTH($L5)&amp;"."&amp;YEAR(TODAY())-1)&lt;365),"")))))</f>
        <v/>
      </c>
      <c r="AE5" s="48" t="str">
        <f ca="1">IF(AND(INT(DATE(Veri2!M$1,MONTH($L5),DAY($L5))-DATE(YEAR($M5),MONTH($M5),DAY($M5)))/365.25&gt;=50,
IF(OR($I5="",$L5="",Veri2!M$1&lt;=YEAR($L5),Veri2!M$1&gt;YEAR(TODAY())),"",IF(AND(Veri2!M$1-YEAR($L5)&gt;=1,YEAR(TODAY())&lt;&gt;Veri2!M$1),
LOOKUP(VALUE("31"&amp;"."&amp;"12"&amp;"."&amp;Veri2!M$1)-$L5,{365,2190,5476},{14,20,26}),
IF(AND(YEAR(TODAY())=Veri2!M$1,TODAY()-VALUE(DAY($L5)&amp;"."&amp;MONTH($L5)&amp;"."&amp;YEAR(TODAY())-1)&gt;=365),
LOOKUP(VALUE(DAY(TODAY())&amp;"."&amp;MONTH(TODAY())&amp;"."&amp;Veri2!M$1)-$L5,{0,365,2190,5476},{0,14,20,26}),
IF(AND(YEAR(TODAY())=Veri2!M$1,TODAY()-VALUE(DAY($L5)&amp;"."&amp;MONTH($L5)&amp;"."&amp;YEAR(TODAY())-1)&lt;365),""))))=14),
IF(OR($I5="",$L5="",Veri2!M$1&lt;=YEAR($L5),Veri2!M$1&gt;YEAR(TODAY())),"",IF(AND(Veri2!M$1-YEAR($L5)&gt;=1,YEAR(TODAY())&lt;&gt;Veri2!M$1),
LOOKUP(VALUE("31"&amp;"."&amp;"12"&amp;"."&amp;Veri2!M$1)-$L5,{365,2190,5476},{20,20,26}),
IF(AND(YEAR(TODAY())=Veri2!M$1,TODAY()-VALUE(DAY($L5)&amp;"."&amp;MONTH($L5)&amp;"."&amp;YEAR(TODAY())-1)&gt;=365),
LOOKUP(VALUE(DAY(TODAY())&amp;"."&amp;MONTH(TODAY())&amp;"."&amp;Veri2!M$1)-$L5,{0,365,2190,5476},{0,20,20,26}),
IF(AND(YEAR(TODAY())=Veri2!M$1,TODAY()-VALUE(DAY($L5)&amp;"."&amp;MONTH($L5)&amp;"."&amp;YEAR(TODAY())-1)&lt;365),"")))),
IF(OR($I5="",$L5="",Veri2!M$1&lt;=YEAR($L5),Veri2!M$1&gt;YEAR(TODAY())),"",IF(AND(Veri2!M$1-YEAR($L5)&gt;=1,YEAR(TODAY())&lt;&gt;Veri2!M$1),
LOOKUP(VALUE("31"&amp;"."&amp;"12"&amp;"."&amp;Veri2!M$1)-$L5,{365,2190,5476},{14,20,26}),
IF(AND(YEAR(TODAY())=Veri2!M$1,TODAY()-VALUE(DAY($L5)&amp;"."&amp;MONTH($L5)&amp;"."&amp;YEAR(TODAY())-1)&gt;=365),
LOOKUP(VALUE(DAY(TODAY())&amp;"."&amp;MONTH(TODAY())&amp;"."&amp;Veri2!M$1)-$L5,{0,365,2190,5476},{0,14,20,26}),
IF(AND(YEAR(TODAY())=Veri2!M$1,TODAY()-VALUE(DAY($L5)&amp;"."&amp;MONTH($L5)&amp;"."&amp;YEAR(TODAY())-1)&lt;365),"")))))</f>
        <v/>
      </c>
      <c r="AF5" s="48" t="str">
        <f ca="1">IF(AND(INT(DATE(Veri2!N$1,MONTH($L5),DAY($L5))-DATE(YEAR($M5),MONTH($M5),DAY($M5)))/365.25&gt;=50,
IF(OR($I5="",$L5="",Veri2!N$1&lt;=YEAR($L5),Veri2!N$1&gt;YEAR(TODAY())),"",IF(AND(Veri2!N$1-YEAR($L5)&gt;=1,YEAR(TODAY())&lt;&gt;Veri2!N$1),
LOOKUP(VALUE("31"&amp;"."&amp;"12"&amp;"."&amp;Veri2!N$1)-$L5,{365,2190,5476},{14,20,26}),
IF(AND(YEAR(TODAY())=Veri2!N$1,TODAY()-VALUE(DAY($L5)&amp;"."&amp;MONTH($L5)&amp;"."&amp;YEAR(TODAY())-1)&gt;=365),
LOOKUP(VALUE(DAY(TODAY())&amp;"."&amp;MONTH(TODAY())&amp;"."&amp;Veri2!N$1)-$L5,{0,365,2190,5476},{0,14,20,26}),
IF(AND(YEAR(TODAY())=Veri2!N$1,TODAY()-VALUE(DAY($L5)&amp;"."&amp;MONTH($L5)&amp;"."&amp;YEAR(TODAY())-1)&lt;365),""))))=14),
IF(OR($I5="",$L5="",Veri2!N$1&lt;=YEAR($L5),Veri2!N$1&gt;YEAR(TODAY())),"",IF(AND(Veri2!N$1-YEAR($L5)&gt;=1,YEAR(TODAY())&lt;&gt;Veri2!N$1),
LOOKUP(VALUE("31"&amp;"."&amp;"12"&amp;"."&amp;Veri2!N$1)-$L5,{365,2190,5476},{20,20,26}),
IF(AND(YEAR(TODAY())=Veri2!N$1,TODAY()-VALUE(DAY($L5)&amp;"."&amp;MONTH($L5)&amp;"."&amp;YEAR(TODAY())-1)&gt;=365),
LOOKUP(VALUE(DAY(TODAY())&amp;"."&amp;MONTH(TODAY())&amp;"."&amp;Veri2!N$1)-$L5,{0,365,2190,5476},{0,20,20,26}),
IF(AND(YEAR(TODAY())=Veri2!N$1,TODAY()-VALUE(DAY($L5)&amp;"."&amp;MONTH($L5)&amp;"."&amp;YEAR(TODAY())-1)&lt;365),"")))),
IF(OR($I5="",$L5="",Veri2!N$1&lt;=YEAR($L5),Veri2!N$1&gt;YEAR(TODAY())),"",IF(AND(Veri2!N$1-YEAR($L5)&gt;=1,YEAR(TODAY())&lt;&gt;Veri2!N$1),
LOOKUP(VALUE("31"&amp;"."&amp;"12"&amp;"."&amp;Veri2!N$1)-$L5,{365,2190,5476},{14,20,26}),
IF(AND(YEAR(TODAY())=Veri2!N$1,TODAY()-VALUE(DAY($L5)&amp;"."&amp;MONTH($L5)&amp;"."&amp;YEAR(TODAY())-1)&gt;=365),
LOOKUP(VALUE(DAY(TODAY())&amp;"."&amp;MONTH(TODAY())&amp;"."&amp;Veri2!N$1)-$L5,{0,365,2190,5476},{0,14,20,26}),
IF(AND(YEAR(TODAY())=Veri2!N$1,TODAY()-VALUE(DAY($L5)&amp;"."&amp;MONTH($L5)&amp;"."&amp;YEAR(TODAY())-1)&lt;365),"")))))</f>
        <v/>
      </c>
      <c r="AG5" s="48" t="str">
        <f ca="1">IF(AND(INT(DATE(Veri2!O$1,MONTH($L5),DAY($L5))-DATE(YEAR($M5),MONTH($M5),DAY($M5)))/365.25&gt;=50,
IF(OR($I5="",$L5="",Veri2!O$1&lt;=YEAR($L5),Veri2!O$1&gt;YEAR(TODAY())),"",IF(AND(Veri2!O$1-YEAR($L5)&gt;=1,YEAR(TODAY())&lt;&gt;Veri2!O$1),
LOOKUP(VALUE("31"&amp;"."&amp;"12"&amp;"."&amp;Veri2!O$1)-$L5,{365,2190,5476},{14,20,26}),
IF(AND(YEAR(TODAY())=Veri2!O$1,TODAY()-VALUE(DAY($L5)&amp;"."&amp;MONTH($L5)&amp;"."&amp;YEAR(TODAY())-1)&gt;=365),
LOOKUP(VALUE(DAY(TODAY())&amp;"."&amp;MONTH(TODAY())&amp;"."&amp;Veri2!O$1)-$L5,{0,365,2190,5476},{0,14,20,26}),
IF(AND(YEAR(TODAY())=Veri2!O$1,TODAY()-VALUE(DAY($L5)&amp;"."&amp;MONTH($L5)&amp;"."&amp;YEAR(TODAY())-1)&lt;365),""))))=14),
IF(OR($I5="",$L5="",Veri2!O$1&lt;=YEAR($L5),Veri2!O$1&gt;YEAR(TODAY())),"",IF(AND(Veri2!O$1-YEAR($L5)&gt;=1,YEAR(TODAY())&lt;&gt;Veri2!O$1),
LOOKUP(VALUE("31"&amp;"."&amp;"12"&amp;"."&amp;Veri2!O$1)-$L5,{365,2190,5476},{20,20,26}),
IF(AND(YEAR(TODAY())=Veri2!O$1,TODAY()-VALUE(DAY($L5)&amp;"."&amp;MONTH($L5)&amp;"."&amp;YEAR(TODAY())-1)&gt;=365),
LOOKUP(VALUE(DAY(TODAY())&amp;"."&amp;MONTH(TODAY())&amp;"."&amp;Veri2!O$1)-$L5,{0,365,2190,5476},{0,20,20,26}),
IF(AND(YEAR(TODAY())=Veri2!O$1,TODAY()-VALUE(DAY($L5)&amp;"."&amp;MONTH($L5)&amp;"."&amp;YEAR(TODAY())-1)&lt;365),"")))),
IF(OR($I5="",$L5="",Veri2!O$1&lt;=YEAR($L5),Veri2!O$1&gt;YEAR(TODAY())),"",IF(AND(Veri2!O$1-YEAR($L5)&gt;=1,YEAR(TODAY())&lt;&gt;Veri2!O$1),
LOOKUP(VALUE("31"&amp;"."&amp;"12"&amp;"."&amp;Veri2!O$1)-$L5,{365,2190,5476},{14,20,26}),
IF(AND(YEAR(TODAY())=Veri2!O$1,TODAY()-VALUE(DAY($L5)&amp;"."&amp;MONTH($L5)&amp;"."&amp;YEAR(TODAY())-1)&gt;=365),
LOOKUP(VALUE(DAY(TODAY())&amp;"."&amp;MONTH(TODAY())&amp;"."&amp;Veri2!O$1)-$L5,{0,365,2190,5476},{0,14,20,26}),
IF(AND(YEAR(TODAY())=Veri2!O$1,TODAY()-VALUE(DAY($L5)&amp;"."&amp;MONTH($L5)&amp;"."&amp;YEAR(TODAY())-1)&lt;365),"")))))</f>
        <v/>
      </c>
      <c r="AH5" s="48" t="str">
        <f ca="1">IF(AND(INT(DATE(Veri2!P$1,MONTH($L5),DAY($L5))-DATE(YEAR($M5),MONTH($M5),DAY($M5)))/365.25&gt;=50,
IF(OR($I5="",$L5="",Veri2!P$1&lt;=YEAR($L5),Veri2!P$1&gt;YEAR(TODAY())),"",IF(AND(Veri2!P$1-YEAR($L5)&gt;=1,YEAR(TODAY())&lt;&gt;Veri2!P$1),
LOOKUP(VALUE("31"&amp;"."&amp;"12"&amp;"."&amp;Veri2!P$1)-$L5,{365,2190,5476},{14,20,26}),
IF(AND(YEAR(TODAY())=Veri2!P$1,TODAY()-VALUE(DAY($L5)&amp;"."&amp;MONTH($L5)&amp;"."&amp;YEAR(TODAY())-1)&gt;=365),
LOOKUP(VALUE(DAY(TODAY())&amp;"."&amp;MONTH(TODAY())&amp;"."&amp;Veri2!P$1)-$L5,{0,365,2190,5476},{0,14,20,26}),
IF(AND(YEAR(TODAY())=Veri2!P$1,TODAY()-VALUE(DAY($L5)&amp;"."&amp;MONTH($L5)&amp;"."&amp;YEAR(TODAY())-1)&lt;365),""))))=14),
IF(OR($I5="",$L5="",Veri2!P$1&lt;=YEAR($L5),Veri2!P$1&gt;YEAR(TODAY())),"",IF(AND(Veri2!P$1-YEAR($L5)&gt;=1,YEAR(TODAY())&lt;&gt;Veri2!P$1),
LOOKUP(VALUE("31"&amp;"."&amp;"12"&amp;"."&amp;Veri2!P$1)-$L5,{365,2190,5476},{20,20,26}),
IF(AND(YEAR(TODAY())=Veri2!P$1,TODAY()-VALUE(DAY($L5)&amp;"."&amp;MONTH($L5)&amp;"."&amp;YEAR(TODAY())-1)&gt;=365),
LOOKUP(VALUE(DAY(TODAY())&amp;"."&amp;MONTH(TODAY())&amp;"."&amp;Veri2!P$1)-$L5,{0,365,2190,5476},{0,20,20,26}),
IF(AND(YEAR(TODAY())=Veri2!P$1,TODAY()-VALUE(DAY($L5)&amp;"."&amp;MONTH($L5)&amp;"."&amp;YEAR(TODAY())-1)&lt;365),"")))),
IF(OR($I5="",$L5="",Veri2!P$1&lt;=YEAR($L5),Veri2!P$1&gt;YEAR(TODAY())),"",IF(AND(Veri2!P$1-YEAR($L5)&gt;=1,YEAR(TODAY())&lt;&gt;Veri2!P$1),
LOOKUP(VALUE("31"&amp;"."&amp;"12"&amp;"."&amp;Veri2!P$1)-$L5,{365,2190,5476},{14,20,26}),
IF(AND(YEAR(TODAY())=Veri2!P$1,TODAY()-VALUE(DAY($L5)&amp;"."&amp;MONTH($L5)&amp;"."&amp;YEAR(TODAY())-1)&gt;=365),
LOOKUP(VALUE(DAY(TODAY())&amp;"."&amp;MONTH(TODAY())&amp;"."&amp;Veri2!P$1)-$L5,{0,365,2190,5476},{0,14,20,26}),
IF(AND(YEAR(TODAY())=Veri2!P$1,TODAY()-VALUE(DAY($L5)&amp;"."&amp;MONTH($L5)&amp;"."&amp;YEAR(TODAY())-1)&lt;365),"")))))</f>
        <v/>
      </c>
      <c r="AI5" s="48" t="str">
        <f ca="1">IF(AND(INT(DATE(Veri2!Q$1,MONTH($L5),DAY($L5))-DATE(YEAR($M5),MONTH($M5),DAY($M5)))/365.25&gt;=50,
IF(OR($I5="",$L5="",Veri2!Q$1&lt;=YEAR($L5),Veri2!Q$1&gt;YEAR(TODAY())),"",IF(AND(Veri2!Q$1-YEAR($L5)&gt;=1,YEAR(TODAY())&lt;&gt;Veri2!Q$1),
LOOKUP(VALUE("31"&amp;"."&amp;"12"&amp;"."&amp;Veri2!Q$1)-$L5,{365,2190,5476},{14,20,26}),
IF(AND(YEAR(TODAY())=Veri2!Q$1,TODAY()-VALUE(DAY($L5)&amp;"."&amp;MONTH($L5)&amp;"."&amp;YEAR(TODAY())-1)&gt;=365),
LOOKUP(VALUE(DAY(TODAY())&amp;"."&amp;MONTH(TODAY())&amp;"."&amp;Veri2!Q$1)-$L5,{0,365,2190,5476},{0,14,20,26}),
IF(AND(YEAR(TODAY())=Veri2!Q$1,TODAY()-VALUE(DAY($L5)&amp;"."&amp;MONTH($L5)&amp;"."&amp;YEAR(TODAY())-1)&lt;365),""))))=14),
IF(OR($I5="",$L5="",Veri2!Q$1&lt;=YEAR($L5),Veri2!Q$1&gt;YEAR(TODAY())),"",IF(AND(Veri2!Q$1-YEAR($L5)&gt;=1,YEAR(TODAY())&lt;&gt;Veri2!Q$1),
LOOKUP(VALUE("31"&amp;"."&amp;"12"&amp;"."&amp;Veri2!Q$1)-$L5,{365,2190,5476},{20,20,26}),
IF(AND(YEAR(TODAY())=Veri2!Q$1,TODAY()-VALUE(DAY($L5)&amp;"."&amp;MONTH($L5)&amp;"."&amp;YEAR(TODAY())-1)&gt;=365),
LOOKUP(VALUE(DAY(TODAY())&amp;"."&amp;MONTH(TODAY())&amp;"."&amp;Veri2!Q$1)-$L5,{0,365,2190,5476},{0,20,20,26}),
IF(AND(YEAR(TODAY())=Veri2!Q$1,TODAY()-VALUE(DAY($L5)&amp;"."&amp;MONTH($L5)&amp;"."&amp;YEAR(TODAY())-1)&lt;365),"")))),
IF(OR($I5="",$L5="",Veri2!Q$1&lt;=YEAR($L5),Veri2!Q$1&gt;YEAR(TODAY())),"",IF(AND(Veri2!Q$1-YEAR($L5)&gt;=1,YEAR(TODAY())&lt;&gt;Veri2!Q$1),
LOOKUP(VALUE("31"&amp;"."&amp;"12"&amp;"."&amp;Veri2!Q$1)-$L5,{365,2190,5476},{14,20,26}),
IF(AND(YEAR(TODAY())=Veri2!Q$1,TODAY()-VALUE(DAY($L5)&amp;"."&amp;MONTH($L5)&amp;"."&amp;YEAR(TODAY())-1)&gt;=365),
LOOKUP(VALUE(DAY(TODAY())&amp;"."&amp;MONTH(TODAY())&amp;"."&amp;Veri2!Q$1)-$L5,{0,365,2190,5476},{0,14,20,26}),
IF(AND(YEAR(TODAY())=Veri2!Q$1,TODAY()-VALUE(DAY($L5)&amp;"."&amp;MONTH($L5)&amp;"."&amp;YEAR(TODAY())-1)&lt;365),"")))))</f>
        <v/>
      </c>
      <c r="AJ5" s="48" t="str">
        <f ca="1">IF(AND(INT(DATE(Veri2!R$1,MONTH($L5),DAY($L5))-DATE(YEAR($M5),MONTH($M5),DAY($M5)))/365.25&gt;=50,
IF(OR($I5="",$L5="",Veri2!R$1&lt;=YEAR($L5),Veri2!R$1&gt;YEAR(TODAY())),"",IF(AND(Veri2!R$1-YEAR($L5)&gt;=1,YEAR(TODAY())&lt;&gt;Veri2!R$1),
LOOKUP(VALUE("31"&amp;"."&amp;"12"&amp;"."&amp;Veri2!R$1)-$L5,{365,2190,5476},{14,20,26}),
IF(AND(YEAR(TODAY())=Veri2!R$1,TODAY()-VALUE(DAY($L5)&amp;"."&amp;MONTH($L5)&amp;"."&amp;YEAR(TODAY())-1)&gt;=365),
LOOKUP(VALUE(DAY(TODAY())&amp;"."&amp;MONTH(TODAY())&amp;"."&amp;Veri2!R$1)-$L5,{0,365,2190,5476},{0,14,20,26}),
IF(AND(YEAR(TODAY())=Veri2!R$1,TODAY()-VALUE(DAY($L5)&amp;"."&amp;MONTH($L5)&amp;"."&amp;YEAR(TODAY())-1)&lt;365),""))))=14),
IF(OR($I5="",$L5="",Veri2!R$1&lt;=YEAR($L5),Veri2!R$1&gt;YEAR(TODAY())),"",IF(AND(Veri2!R$1-YEAR($L5)&gt;=1,YEAR(TODAY())&lt;&gt;Veri2!R$1),
LOOKUP(VALUE("31"&amp;"."&amp;"12"&amp;"."&amp;Veri2!R$1)-$L5,{365,2190,5476},{20,20,26}),
IF(AND(YEAR(TODAY())=Veri2!R$1,TODAY()-VALUE(DAY($L5)&amp;"."&amp;MONTH($L5)&amp;"."&amp;YEAR(TODAY())-1)&gt;=365),
LOOKUP(VALUE(DAY(TODAY())&amp;"."&amp;MONTH(TODAY())&amp;"."&amp;Veri2!R$1)-$L5,{0,365,2190,5476},{0,20,20,26}),
IF(AND(YEAR(TODAY())=Veri2!R$1,TODAY()-VALUE(DAY($L5)&amp;"."&amp;MONTH($L5)&amp;"."&amp;YEAR(TODAY())-1)&lt;365),"")))),
IF(OR($I5="",$L5="",Veri2!R$1&lt;=YEAR($L5),Veri2!R$1&gt;YEAR(TODAY())),"",IF(AND(Veri2!R$1-YEAR($L5)&gt;=1,YEAR(TODAY())&lt;&gt;Veri2!R$1),
LOOKUP(VALUE("31"&amp;"."&amp;"12"&amp;"."&amp;Veri2!R$1)-$L5,{365,2190,5476},{14,20,26}),
IF(AND(YEAR(TODAY())=Veri2!R$1,TODAY()-VALUE(DAY($L5)&amp;"."&amp;MONTH($L5)&amp;"."&amp;YEAR(TODAY())-1)&gt;=365),
LOOKUP(VALUE(DAY(TODAY())&amp;"."&amp;MONTH(TODAY())&amp;"."&amp;Veri2!R$1)-$L5,{0,365,2190,5476},{0,14,20,26}),
IF(AND(YEAR(TODAY())=Veri2!R$1,TODAY()-VALUE(DAY($L5)&amp;"."&amp;MONTH($L5)&amp;"."&amp;YEAR(TODAY())-1)&lt;365),"")))))</f>
        <v/>
      </c>
      <c r="AK5" s="48" t="str">
        <f ca="1">IF(AND(INT(DATE(Veri2!S$1,MONTH($L5),DAY($L5))-DATE(YEAR($M5),MONTH($M5),DAY($M5)))/365.25&gt;=50,
IF(OR($I5="",$L5="",Veri2!S$1&lt;=YEAR($L5),Veri2!S$1&gt;YEAR(TODAY())),"",IF(AND(Veri2!S$1-YEAR($L5)&gt;=1,YEAR(TODAY())&lt;&gt;Veri2!S$1),
LOOKUP(VALUE("31"&amp;"."&amp;"12"&amp;"."&amp;Veri2!S$1)-$L5,{365,2190,5476},{14,20,26}),
IF(AND(YEAR(TODAY())=Veri2!S$1,TODAY()-VALUE(DAY($L5)&amp;"."&amp;MONTH($L5)&amp;"."&amp;YEAR(TODAY())-1)&gt;=365),
LOOKUP(VALUE(DAY(TODAY())&amp;"."&amp;MONTH(TODAY())&amp;"."&amp;Veri2!S$1)-$L5,{0,365,2190,5476},{0,14,20,26}),
IF(AND(YEAR(TODAY())=Veri2!S$1,TODAY()-VALUE(DAY($L5)&amp;"."&amp;MONTH($L5)&amp;"."&amp;YEAR(TODAY())-1)&lt;365),""))))=14),
IF(OR($I5="",$L5="",Veri2!S$1&lt;=YEAR($L5),Veri2!S$1&gt;YEAR(TODAY())),"",IF(AND(Veri2!S$1-YEAR($L5)&gt;=1,YEAR(TODAY())&lt;&gt;Veri2!S$1),
LOOKUP(VALUE("31"&amp;"."&amp;"12"&amp;"."&amp;Veri2!S$1)-$L5,{365,2190,5476},{20,20,26}),
IF(AND(YEAR(TODAY())=Veri2!S$1,TODAY()-VALUE(DAY($L5)&amp;"."&amp;MONTH($L5)&amp;"."&amp;YEAR(TODAY())-1)&gt;=365),
LOOKUP(VALUE(DAY(TODAY())&amp;"."&amp;MONTH(TODAY())&amp;"."&amp;Veri2!S$1)-$L5,{0,365,2190,5476},{0,20,20,26}),
IF(AND(YEAR(TODAY())=Veri2!S$1,TODAY()-VALUE(DAY($L5)&amp;"."&amp;MONTH($L5)&amp;"."&amp;YEAR(TODAY())-1)&lt;365),"")))),
IF(OR($I5="",$L5="",Veri2!S$1&lt;=YEAR($L5),Veri2!S$1&gt;YEAR(TODAY())),"",IF(AND(Veri2!S$1-YEAR($L5)&gt;=1,YEAR(TODAY())&lt;&gt;Veri2!S$1),
LOOKUP(VALUE("31"&amp;"."&amp;"12"&amp;"."&amp;Veri2!S$1)-$L5,{365,2190,5476},{14,20,26}),
IF(AND(YEAR(TODAY())=Veri2!S$1,TODAY()-VALUE(DAY($L5)&amp;"."&amp;MONTH($L5)&amp;"."&amp;YEAR(TODAY())-1)&gt;=365),
LOOKUP(VALUE(DAY(TODAY())&amp;"."&amp;MONTH(TODAY())&amp;"."&amp;Veri2!S$1)-$L5,{0,365,2190,5476},{0,14,20,26}),
IF(AND(YEAR(TODAY())=Veri2!S$1,TODAY()-VALUE(DAY($L5)&amp;"."&amp;MONTH($L5)&amp;"."&amp;YEAR(TODAY())-1)&lt;365),"")))))</f>
        <v/>
      </c>
      <c r="AL5" s="48" t="str">
        <f ca="1">IF(AND(INT(DATE(Veri2!T$1,MONTH($L5),DAY($L5))-DATE(YEAR($M5),MONTH($M5),DAY($M5)))/365.25&gt;=50,
IF(OR($I5="",$L5="",Veri2!T$1&lt;=YEAR($L5),Veri2!T$1&gt;YEAR(TODAY())),"",IF(AND(Veri2!T$1-YEAR($L5)&gt;=1,YEAR(TODAY())&lt;&gt;Veri2!T$1),
LOOKUP(VALUE("31"&amp;"."&amp;"12"&amp;"."&amp;Veri2!T$1)-$L5,{365,2190,5476},{14,20,26}),
IF(AND(YEAR(TODAY())=Veri2!T$1,TODAY()-VALUE(DAY($L5)&amp;"."&amp;MONTH($L5)&amp;"."&amp;YEAR(TODAY())-1)&gt;=365),
LOOKUP(VALUE(DAY(TODAY())&amp;"."&amp;MONTH(TODAY())&amp;"."&amp;Veri2!T$1)-$L5,{0,365,2190,5476},{0,14,20,26}),
IF(AND(YEAR(TODAY())=Veri2!T$1,TODAY()-VALUE(DAY($L5)&amp;"."&amp;MONTH($L5)&amp;"."&amp;YEAR(TODAY())-1)&lt;365),""))))=14),
IF(OR($I5="",$L5="",Veri2!T$1&lt;=YEAR($L5),Veri2!T$1&gt;YEAR(TODAY())),"",IF(AND(Veri2!T$1-YEAR($L5)&gt;=1,YEAR(TODAY())&lt;&gt;Veri2!T$1),
LOOKUP(VALUE("31"&amp;"."&amp;"12"&amp;"."&amp;Veri2!T$1)-$L5,{365,2190,5476},{20,20,26}),
IF(AND(YEAR(TODAY())=Veri2!T$1,TODAY()-VALUE(DAY($L5)&amp;"."&amp;MONTH($L5)&amp;"."&amp;YEAR(TODAY())-1)&gt;=365),
LOOKUP(VALUE(DAY(TODAY())&amp;"."&amp;MONTH(TODAY())&amp;"."&amp;Veri2!T$1)-$L5,{0,365,2190,5476},{0,20,20,26}),
IF(AND(YEAR(TODAY())=Veri2!T$1,TODAY()-VALUE(DAY($L5)&amp;"."&amp;MONTH($L5)&amp;"."&amp;YEAR(TODAY())-1)&lt;365),"")))),
IF(OR($I5="",$L5="",Veri2!T$1&lt;=YEAR($L5),Veri2!T$1&gt;YEAR(TODAY())),"",IF(AND(Veri2!T$1-YEAR($L5)&gt;=1,YEAR(TODAY())&lt;&gt;Veri2!T$1),
LOOKUP(VALUE("31"&amp;"."&amp;"12"&amp;"."&amp;Veri2!T$1)-$L5,{365,2190,5476},{14,20,26}),
IF(AND(YEAR(TODAY())=Veri2!T$1,TODAY()-VALUE(DAY($L5)&amp;"."&amp;MONTH($L5)&amp;"."&amp;YEAR(TODAY())-1)&gt;=365),
LOOKUP(VALUE(DAY(TODAY())&amp;"."&amp;MONTH(TODAY())&amp;"."&amp;Veri2!T$1)-$L5,{0,365,2190,5476},{0,14,20,26}),
IF(AND(YEAR(TODAY())=Veri2!T$1,TODAY()-VALUE(DAY($L5)&amp;"."&amp;MONTH($L5)&amp;"."&amp;YEAR(TODAY())-1)&lt;365),"")))))</f>
        <v/>
      </c>
      <c r="AM5" s="48" t="str">
        <f ca="1">IF(AND(INT(DATE(Veri2!U$1,MONTH($L5),DAY($L5))-DATE(YEAR($M5),MONTH($M5),DAY($M5)))/365.25&gt;=50,
IF(OR($I5="",$L5="",Veri2!U$1&lt;=YEAR($L5),Veri2!U$1&gt;YEAR(TODAY())),"",IF(AND(Veri2!U$1-YEAR($L5)&gt;=1,YEAR(TODAY())&lt;&gt;Veri2!U$1),
LOOKUP(VALUE("31"&amp;"."&amp;"12"&amp;"."&amp;Veri2!U$1)-$L5,{365,2190,5476},{14,20,26}),
IF(AND(YEAR(TODAY())=Veri2!U$1,TODAY()-VALUE(DAY($L5)&amp;"."&amp;MONTH($L5)&amp;"."&amp;YEAR(TODAY())-1)&gt;=365),
LOOKUP(VALUE(DAY(TODAY())&amp;"."&amp;MONTH(TODAY())&amp;"."&amp;Veri2!U$1)-$L5,{0,365,2190,5476},{0,14,20,26}),
IF(AND(YEAR(TODAY())=Veri2!U$1,TODAY()-VALUE(DAY($L5)&amp;"."&amp;MONTH($L5)&amp;"."&amp;YEAR(TODAY())-1)&lt;365),""))))=14),
IF(OR($I5="",$L5="",Veri2!U$1&lt;=YEAR($L5),Veri2!U$1&gt;YEAR(TODAY())),"",IF(AND(Veri2!U$1-YEAR($L5)&gt;=1,YEAR(TODAY())&lt;&gt;Veri2!U$1),
LOOKUP(VALUE("31"&amp;"."&amp;"12"&amp;"."&amp;Veri2!U$1)-$L5,{365,2190,5476},{20,20,26}),
IF(AND(YEAR(TODAY())=Veri2!U$1,TODAY()-VALUE(DAY($L5)&amp;"."&amp;MONTH($L5)&amp;"."&amp;YEAR(TODAY())-1)&gt;=365),
LOOKUP(VALUE(DAY(TODAY())&amp;"."&amp;MONTH(TODAY())&amp;"."&amp;Veri2!U$1)-$L5,{0,365,2190,5476},{0,20,20,26}),
IF(AND(YEAR(TODAY())=Veri2!U$1,TODAY()-VALUE(DAY($L5)&amp;"."&amp;MONTH($L5)&amp;"."&amp;YEAR(TODAY())-1)&lt;365),"")))),
IF(OR($I5="",$L5="",Veri2!U$1&lt;=YEAR($L5),Veri2!U$1&gt;YEAR(TODAY())),"",IF(AND(Veri2!U$1-YEAR($L5)&gt;=1,YEAR(TODAY())&lt;&gt;Veri2!U$1),
LOOKUP(VALUE("31"&amp;"."&amp;"12"&amp;"."&amp;Veri2!U$1)-$L5,{365,2190,5476},{14,20,26}),
IF(AND(YEAR(TODAY())=Veri2!U$1,TODAY()-VALUE(DAY($L5)&amp;"."&amp;MONTH($L5)&amp;"."&amp;YEAR(TODAY())-1)&gt;=365),
LOOKUP(VALUE(DAY(TODAY())&amp;"."&amp;MONTH(TODAY())&amp;"."&amp;Veri2!U$1)-$L5,{0,365,2190,5476},{0,14,20,26}),
IF(AND(YEAR(TODAY())=Veri2!U$1,TODAY()-VALUE(DAY($L5)&amp;"."&amp;MONTH($L5)&amp;"."&amp;YEAR(TODAY())-1)&lt;365),"")))))</f>
        <v/>
      </c>
      <c r="AN5" s="48" t="str">
        <f ca="1">IF(AND(INT(DATE(Veri2!V$1,MONTH($L5),DAY($L5))-DATE(YEAR($M5),MONTH($M5),DAY($M5)))/365.25&gt;=50,
IF(OR($I5="",$L5="",Veri2!V$1&lt;=YEAR($L5),Veri2!V$1&gt;YEAR(TODAY())),"",IF(AND(Veri2!V$1-YEAR($L5)&gt;=1,YEAR(TODAY())&lt;&gt;Veri2!V$1),
LOOKUP(VALUE("31"&amp;"."&amp;"12"&amp;"."&amp;Veri2!V$1)-$L5,{365,2190,5476},{14,20,26}),
IF(AND(YEAR(TODAY())=Veri2!V$1,TODAY()-VALUE(DAY($L5)&amp;"."&amp;MONTH($L5)&amp;"."&amp;YEAR(TODAY())-1)&gt;=365),
LOOKUP(VALUE(DAY(TODAY())&amp;"."&amp;MONTH(TODAY())&amp;"."&amp;Veri2!V$1)-$L5,{0,365,2190,5476},{0,14,20,26}),
IF(AND(YEAR(TODAY())=Veri2!V$1,TODAY()-VALUE(DAY($L5)&amp;"."&amp;MONTH($L5)&amp;"."&amp;YEAR(TODAY())-1)&lt;365),""))))=14),
IF(OR($I5="",$L5="",Veri2!V$1&lt;=YEAR($L5),Veri2!V$1&gt;YEAR(TODAY())),"",IF(AND(Veri2!V$1-YEAR($L5)&gt;=1,YEAR(TODAY())&lt;&gt;Veri2!V$1),
LOOKUP(VALUE("31"&amp;"."&amp;"12"&amp;"."&amp;Veri2!V$1)-$L5,{365,2190,5476},{20,20,26}),
IF(AND(YEAR(TODAY())=Veri2!V$1,TODAY()-VALUE(DAY($L5)&amp;"."&amp;MONTH($L5)&amp;"."&amp;YEAR(TODAY())-1)&gt;=365),
LOOKUP(VALUE(DAY(TODAY())&amp;"."&amp;MONTH(TODAY())&amp;"."&amp;Veri2!V$1)-$L5,{0,365,2190,5476},{0,20,20,26}),
IF(AND(YEAR(TODAY())=Veri2!V$1,TODAY()-VALUE(DAY($L5)&amp;"."&amp;MONTH($L5)&amp;"."&amp;YEAR(TODAY())-1)&lt;365),"")))),
IF(OR($I5="",$L5="",Veri2!V$1&lt;=YEAR($L5),Veri2!V$1&gt;YEAR(TODAY())),"",IF(AND(Veri2!V$1-YEAR($L5)&gt;=1,YEAR(TODAY())&lt;&gt;Veri2!V$1),
LOOKUP(VALUE("31"&amp;"."&amp;"12"&amp;"."&amp;Veri2!V$1)-$L5,{365,2190,5476},{14,20,26}),
IF(AND(YEAR(TODAY())=Veri2!V$1,TODAY()-VALUE(DAY($L5)&amp;"."&amp;MONTH($L5)&amp;"."&amp;YEAR(TODAY())-1)&gt;=365),
LOOKUP(VALUE(DAY(TODAY())&amp;"."&amp;MONTH(TODAY())&amp;"."&amp;Veri2!V$1)-$L5,{0,365,2190,5476},{0,14,20,26}),
IF(AND(YEAR(TODAY())=Veri2!V$1,TODAY()-VALUE(DAY($L5)&amp;"."&amp;MONTH($L5)&amp;"."&amp;YEAR(TODAY())-1)&lt;365),"")))))</f>
        <v/>
      </c>
      <c r="AO5" s="48" t="str">
        <f ca="1">IF(AND(INT(DATE(Veri2!W$1,MONTH($L5),DAY($L5))-DATE(YEAR($M5),MONTH($M5),DAY($M5)))/365.25&gt;=50,
IF(OR($I5="",$L5="",Veri2!W$1&lt;=YEAR($L5),Veri2!W$1&gt;YEAR(TODAY())),"",IF(AND(Veri2!W$1-YEAR($L5)&gt;=1,YEAR(TODAY())&lt;&gt;Veri2!W$1),
LOOKUP(VALUE("31"&amp;"."&amp;"12"&amp;"."&amp;Veri2!W$1)-$L5,{365,2190,5476},{14,20,26}),
IF(AND(YEAR(TODAY())=Veri2!W$1,TODAY()-VALUE(DAY($L5)&amp;"."&amp;MONTH($L5)&amp;"."&amp;YEAR(TODAY())-1)&gt;=365),
LOOKUP(VALUE(DAY(TODAY())&amp;"."&amp;MONTH(TODAY())&amp;"."&amp;Veri2!W$1)-$L5,{0,365,2190,5476},{0,14,20,26}),
IF(AND(YEAR(TODAY())=Veri2!W$1,TODAY()-VALUE(DAY($L5)&amp;"."&amp;MONTH($L5)&amp;"."&amp;YEAR(TODAY())-1)&lt;365),""))))=14),
IF(OR($I5="",$L5="",Veri2!W$1&lt;=YEAR($L5),Veri2!W$1&gt;YEAR(TODAY())),"",IF(AND(Veri2!W$1-YEAR($L5)&gt;=1,YEAR(TODAY())&lt;&gt;Veri2!W$1),
LOOKUP(VALUE("31"&amp;"."&amp;"12"&amp;"."&amp;Veri2!W$1)-$L5,{365,2190,5476},{20,20,26}),
IF(AND(YEAR(TODAY())=Veri2!W$1,TODAY()-VALUE(DAY($L5)&amp;"."&amp;MONTH($L5)&amp;"."&amp;YEAR(TODAY())-1)&gt;=365),
LOOKUP(VALUE(DAY(TODAY())&amp;"."&amp;MONTH(TODAY())&amp;"."&amp;Veri2!W$1)-$L5,{0,365,2190,5476},{0,20,20,26}),
IF(AND(YEAR(TODAY())=Veri2!W$1,TODAY()-VALUE(DAY($L5)&amp;"."&amp;MONTH($L5)&amp;"."&amp;YEAR(TODAY())-1)&lt;365),"")))),
IF(OR($I5="",$L5="",Veri2!W$1&lt;=YEAR($L5),Veri2!W$1&gt;YEAR(TODAY())),"",IF(AND(Veri2!W$1-YEAR($L5)&gt;=1,YEAR(TODAY())&lt;&gt;Veri2!W$1),
LOOKUP(VALUE("31"&amp;"."&amp;"12"&amp;"."&amp;Veri2!W$1)-$L5,{365,2190,5476},{14,20,26}),
IF(AND(YEAR(TODAY())=Veri2!W$1,TODAY()-VALUE(DAY($L5)&amp;"."&amp;MONTH($L5)&amp;"."&amp;YEAR(TODAY())-1)&gt;=365),
LOOKUP(VALUE(DAY(TODAY())&amp;"."&amp;MONTH(TODAY())&amp;"."&amp;Veri2!W$1)-$L5,{0,365,2190,5476},{0,14,20,26}),
IF(AND(YEAR(TODAY())=Veri2!W$1,TODAY()-VALUE(DAY($L5)&amp;"."&amp;MONTH($L5)&amp;"."&amp;YEAR(TODAY())-1)&lt;365),"")))))</f>
        <v/>
      </c>
      <c r="AP5" s="48" t="str">
        <f ca="1">IF(AND(INT(DATE(Veri2!X$1,MONTH($L5),DAY($L5))-DATE(YEAR($M5),MONTH($M5),DAY($M5)))/365.25&gt;=50,
IF(OR($I5="",$L5="",Veri2!X$1&lt;=YEAR($L5),Veri2!X$1&gt;YEAR(TODAY())),"",IF(AND(Veri2!X$1-YEAR($L5)&gt;=1,YEAR(TODAY())&lt;&gt;Veri2!X$1),
LOOKUP(VALUE("31"&amp;"."&amp;"12"&amp;"."&amp;Veri2!X$1)-$L5,{365,2190,5476},{14,20,26}),
IF(AND(YEAR(TODAY())=Veri2!X$1,TODAY()-VALUE(DAY($L5)&amp;"."&amp;MONTH($L5)&amp;"."&amp;YEAR(TODAY())-1)&gt;=365),
LOOKUP(VALUE(DAY(TODAY())&amp;"."&amp;MONTH(TODAY())&amp;"."&amp;Veri2!X$1)-$L5,{0,365,2190,5476},{0,14,20,26}),
IF(AND(YEAR(TODAY())=Veri2!X$1,TODAY()-VALUE(DAY($L5)&amp;"."&amp;MONTH($L5)&amp;"."&amp;YEAR(TODAY())-1)&lt;365),""))))=14),
IF(OR($I5="",$L5="",Veri2!X$1&lt;=YEAR($L5),Veri2!X$1&gt;YEAR(TODAY())),"",IF(AND(Veri2!X$1-YEAR($L5)&gt;=1,YEAR(TODAY())&lt;&gt;Veri2!X$1),
LOOKUP(VALUE("31"&amp;"."&amp;"12"&amp;"."&amp;Veri2!X$1)-$L5,{365,2190,5476},{20,20,26}),
IF(AND(YEAR(TODAY())=Veri2!X$1,TODAY()-VALUE(DAY($L5)&amp;"."&amp;MONTH($L5)&amp;"."&amp;YEAR(TODAY())-1)&gt;=365),
LOOKUP(VALUE(DAY(TODAY())&amp;"."&amp;MONTH(TODAY())&amp;"."&amp;Veri2!X$1)-$L5,{0,365,2190,5476},{0,20,20,26}),
IF(AND(YEAR(TODAY())=Veri2!X$1,TODAY()-VALUE(DAY($L5)&amp;"."&amp;MONTH($L5)&amp;"."&amp;YEAR(TODAY())-1)&lt;365),"")))),
IF(OR($I5="",$L5="",Veri2!X$1&lt;=YEAR($L5),Veri2!X$1&gt;YEAR(TODAY())),"",IF(AND(Veri2!X$1-YEAR($L5)&gt;=1,YEAR(TODAY())&lt;&gt;Veri2!X$1),
LOOKUP(VALUE("31"&amp;"."&amp;"12"&amp;"."&amp;Veri2!X$1)-$L5,{365,2190,5476},{14,20,26}),
IF(AND(YEAR(TODAY())=Veri2!X$1,TODAY()-VALUE(DAY($L5)&amp;"."&amp;MONTH($L5)&amp;"."&amp;YEAR(TODAY())-1)&gt;=365),
LOOKUP(VALUE(DAY(TODAY())&amp;"."&amp;MONTH(TODAY())&amp;"."&amp;Veri2!X$1)-$L5,{0,365,2190,5476},{0,14,20,26}),
IF(AND(YEAR(TODAY())=Veri2!X$1,TODAY()-VALUE(DAY($L5)&amp;"."&amp;MONTH($L5)&amp;"."&amp;YEAR(TODAY())-1)&lt;365),"")))))</f>
        <v/>
      </c>
      <c r="AQ5" s="48" t="str">
        <f ca="1">IF(AND(INT(DATE(Veri2!Y$1,MONTH($L5),DAY($L5))-DATE(YEAR($M5),MONTH($M5),DAY($M5)))/365.25&gt;=50,
IF(OR($I5="",$L5="",Veri2!Y$1&lt;=YEAR($L5),Veri2!Y$1&gt;YEAR(TODAY())),"",IF(AND(Veri2!Y$1-YEAR($L5)&gt;=1,YEAR(TODAY())&lt;&gt;Veri2!Y$1),
LOOKUP(VALUE("31"&amp;"."&amp;"12"&amp;"."&amp;Veri2!Y$1)-$L5,{365,2190,5476},{14,20,26}),
IF(AND(YEAR(TODAY())=Veri2!Y$1,TODAY()-VALUE(DAY($L5)&amp;"."&amp;MONTH($L5)&amp;"."&amp;YEAR(TODAY())-1)&gt;=365),
LOOKUP(VALUE(DAY(TODAY())&amp;"."&amp;MONTH(TODAY())&amp;"."&amp;Veri2!Y$1)-$L5,{0,365,2190,5476},{0,14,20,26}),
IF(AND(YEAR(TODAY())=Veri2!Y$1,TODAY()-VALUE(DAY($L5)&amp;"."&amp;MONTH($L5)&amp;"."&amp;YEAR(TODAY())-1)&lt;365),""))))=14),
IF(OR($I5="",$L5="",Veri2!Y$1&lt;=YEAR($L5),Veri2!Y$1&gt;YEAR(TODAY())),"",IF(AND(Veri2!Y$1-YEAR($L5)&gt;=1,YEAR(TODAY())&lt;&gt;Veri2!Y$1),
LOOKUP(VALUE("31"&amp;"."&amp;"12"&amp;"."&amp;Veri2!Y$1)-$L5,{365,2190,5476},{20,20,26}),
IF(AND(YEAR(TODAY())=Veri2!Y$1,TODAY()-VALUE(DAY($L5)&amp;"."&amp;MONTH($L5)&amp;"."&amp;YEAR(TODAY())-1)&gt;=365),
LOOKUP(VALUE(DAY(TODAY())&amp;"."&amp;MONTH(TODAY())&amp;"."&amp;Veri2!Y$1)-$L5,{0,365,2190,5476},{0,20,20,26}),
IF(AND(YEAR(TODAY())=Veri2!Y$1,TODAY()-VALUE(DAY($L5)&amp;"."&amp;MONTH($L5)&amp;"."&amp;YEAR(TODAY())-1)&lt;365),"")))),
IF(OR($I5="",$L5="",Veri2!Y$1&lt;=YEAR($L5),Veri2!Y$1&gt;YEAR(TODAY())),"",IF(AND(Veri2!Y$1-YEAR($L5)&gt;=1,YEAR(TODAY())&lt;&gt;Veri2!Y$1),
LOOKUP(VALUE("31"&amp;"."&amp;"12"&amp;"."&amp;Veri2!Y$1)-$L5,{365,2190,5476},{14,20,26}),
IF(AND(YEAR(TODAY())=Veri2!Y$1,TODAY()-VALUE(DAY($L5)&amp;"."&amp;MONTH($L5)&amp;"."&amp;YEAR(TODAY())-1)&gt;=365),
LOOKUP(VALUE(DAY(TODAY())&amp;"."&amp;MONTH(TODAY())&amp;"."&amp;Veri2!Y$1)-$L5,{0,365,2190,5476},{0,14,20,26}),
IF(AND(YEAR(TODAY())=Veri2!Y$1,TODAY()-VALUE(DAY($L5)&amp;"."&amp;MONTH($L5)&amp;"."&amp;YEAR(TODAY())-1)&lt;365),"")))))</f>
        <v/>
      </c>
      <c r="AR5" s="48" t="str">
        <f ca="1">IF(AND(INT(DATE(Veri2!Z$1,MONTH($L5),DAY($L5))-DATE(YEAR($M5),MONTH($M5),DAY($M5)))/365.25&gt;=50,
IF(OR($I5="",$L5="",Veri2!Z$1&lt;=YEAR($L5),Veri2!Z$1&gt;YEAR(TODAY())),"",IF(AND(Veri2!Z$1-YEAR($L5)&gt;=1,YEAR(TODAY())&lt;&gt;Veri2!Z$1),
LOOKUP(VALUE("31"&amp;"."&amp;"12"&amp;"."&amp;Veri2!Z$1)-$L5,{365,2190,5476},{14,20,26}),
IF(AND(YEAR(TODAY())=Veri2!Z$1,TODAY()-VALUE(DAY($L5)&amp;"."&amp;MONTH($L5)&amp;"."&amp;YEAR(TODAY())-1)&gt;=365),
LOOKUP(VALUE(DAY(TODAY())&amp;"."&amp;MONTH(TODAY())&amp;"."&amp;Veri2!Z$1)-$L5,{0,365,2190,5476},{0,14,20,26}),
IF(AND(YEAR(TODAY())=Veri2!Z$1,TODAY()-VALUE(DAY($L5)&amp;"."&amp;MONTH($L5)&amp;"."&amp;YEAR(TODAY())-1)&lt;365),""))))=14),
IF(OR($I5="",$L5="",Veri2!Z$1&lt;=YEAR($L5),Veri2!Z$1&gt;YEAR(TODAY())),"",IF(AND(Veri2!Z$1-YEAR($L5)&gt;=1,YEAR(TODAY())&lt;&gt;Veri2!Z$1),
LOOKUP(VALUE("31"&amp;"."&amp;"12"&amp;"."&amp;Veri2!Z$1)-$L5,{365,2190,5476},{20,20,26}),
IF(AND(YEAR(TODAY())=Veri2!Z$1,TODAY()-VALUE(DAY($L5)&amp;"."&amp;MONTH($L5)&amp;"."&amp;YEAR(TODAY())-1)&gt;=365),
LOOKUP(VALUE(DAY(TODAY())&amp;"."&amp;MONTH(TODAY())&amp;"."&amp;Veri2!Z$1)-$L5,{0,365,2190,5476},{0,20,20,26}),
IF(AND(YEAR(TODAY())=Veri2!Z$1,TODAY()-VALUE(DAY($L5)&amp;"."&amp;MONTH($L5)&amp;"."&amp;YEAR(TODAY())-1)&lt;365),"")))),
IF(OR($I5="",$L5="",Veri2!Z$1&lt;=YEAR($L5),Veri2!Z$1&gt;YEAR(TODAY())),"",IF(AND(Veri2!Z$1-YEAR($L5)&gt;=1,YEAR(TODAY())&lt;&gt;Veri2!Z$1),
LOOKUP(VALUE("31"&amp;"."&amp;"12"&amp;"."&amp;Veri2!Z$1)-$L5,{365,2190,5476},{14,20,26}),
IF(AND(YEAR(TODAY())=Veri2!Z$1,TODAY()-VALUE(DAY($L5)&amp;"."&amp;MONTH($L5)&amp;"."&amp;YEAR(TODAY())-1)&gt;=365),
LOOKUP(VALUE(DAY(TODAY())&amp;"."&amp;MONTH(TODAY())&amp;"."&amp;Veri2!Z$1)-$L5,{0,365,2190,5476},{0,14,20,26}),
IF(AND(YEAR(TODAY())=Veri2!Z$1,TODAY()-VALUE(DAY($L5)&amp;"."&amp;MONTH($L5)&amp;"."&amp;YEAR(TODAY())-1)&lt;365),"")))))</f>
        <v/>
      </c>
      <c r="AS5" s="48" t="str">
        <f ca="1">IF(AND(INT(DATE(Veri2!AA$1,MONTH($L5),DAY($L5))-DATE(YEAR($M5),MONTH($M5),DAY($M5)))/365.25&gt;=50,
IF(OR($I5="",$L5="",Veri2!AA$1&lt;=YEAR($L5),Veri2!AA$1&gt;YEAR(TODAY())),"",IF(AND(Veri2!AA$1-YEAR($L5)&gt;=1,YEAR(TODAY())&lt;&gt;Veri2!AA$1),
LOOKUP(VALUE("31"&amp;"."&amp;"12"&amp;"."&amp;Veri2!AA$1)-$L5,{365,2190,5476},{14,20,26}),
IF(AND(YEAR(TODAY())=Veri2!AA$1,TODAY()-VALUE(DAY($L5)&amp;"."&amp;MONTH($L5)&amp;"."&amp;YEAR(TODAY())-1)&gt;=365),
LOOKUP(VALUE(DAY(TODAY())&amp;"."&amp;MONTH(TODAY())&amp;"."&amp;Veri2!AA$1)-$L5,{0,365,2190,5476},{0,14,20,26}),
IF(AND(YEAR(TODAY())=Veri2!AA$1,TODAY()-VALUE(DAY($L5)&amp;"."&amp;MONTH($L5)&amp;"."&amp;YEAR(TODAY())-1)&lt;365),""))))=14),
IF(OR($I5="",$L5="",Veri2!AA$1&lt;=YEAR($L5),Veri2!AA$1&gt;YEAR(TODAY())),"",IF(AND(Veri2!AA$1-YEAR($L5)&gt;=1,YEAR(TODAY())&lt;&gt;Veri2!AA$1),
LOOKUP(VALUE("31"&amp;"."&amp;"12"&amp;"."&amp;Veri2!AA$1)-$L5,{365,2190,5476},{20,20,26}),
IF(AND(YEAR(TODAY())=Veri2!AA$1,TODAY()-VALUE(DAY($L5)&amp;"."&amp;MONTH($L5)&amp;"."&amp;YEAR(TODAY())-1)&gt;=365),
LOOKUP(VALUE(DAY(TODAY())&amp;"."&amp;MONTH(TODAY())&amp;"."&amp;Veri2!AA$1)-$L5,{0,365,2190,5476},{0,20,20,26}),
IF(AND(YEAR(TODAY())=Veri2!AA$1,TODAY()-VALUE(DAY($L5)&amp;"."&amp;MONTH($L5)&amp;"."&amp;YEAR(TODAY())-1)&lt;365),"")))),
IF(OR($I5="",$L5="",Veri2!AA$1&lt;=YEAR($L5),Veri2!AA$1&gt;YEAR(TODAY())),"",IF(AND(Veri2!AA$1-YEAR($L5)&gt;=1,YEAR(TODAY())&lt;&gt;Veri2!AA$1),
LOOKUP(VALUE("31"&amp;"."&amp;"12"&amp;"."&amp;Veri2!AA$1)-$L5,{365,2190,5476},{14,20,26}),
IF(AND(YEAR(TODAY())=Veri2!AA$1,TODAY()-VALUE(DAY($L5)&amp;"."&amp;MONTH($L5)&amp;"."&amp;YEAR(TODAY())-1)&gt;=365),
LOOKUP(VALUE(DAY(TODAY())&amp;"."&amp;MONTH(TODAY())&amp;"."&amp;Veri2!AA$1)-$L5,{0,365,2190,5476},{0,14,20,26}),
IF(AND(YEAR(TODAY())=Veri2!AA$1,TODAY()-VALUE(DAY($L5)&amp;"."&amp;MONTH($L5)&amp;"."&amp;YEAR(TODAY())-1)&lt;365),"")))))</f>
        <v/>
      </c>
      <c r="AT5" s="48" t="str">
        <f ca="1">IF(AND(INT(DATE(Veri2!AB$1,MONTH($L5),DAY($L5))-DATE(YEAR($M5),MONTH($M5),DAY($M5)))/365.25&gt;=50,
IF(OR($I5="",$L5="",Veri2!AB$1&lt;=YEAR($L5),Veri2!AB$1&gt;YEAR(TODAY())),"",IF(AND(Veri2!AB$1-YEAR($L5)&gt;=1,YEAR(TODAY())&lt;&gt;Veri2!AB$1),
LOOKUP(VALUE("31"&amp;"."&amp;"12"&amp;"."&amp;Veri2!AB$1)-$L5,{365,2190,5476},{14,20,26}),
IF(AND(YEAR(TODAY())=Veri2!AB$1,TODAY()-VALUE(DAY($L5)&amp;"."&amp;MONTH($L5)&amp;"."&amp;YEAR(TODAY())-1)&gt;=365),
LOOKUP(VALUE(DAY(TODAY())&amp;"."&amp;MONTH(TODAY())&amp;"."&amp;Veri2!AB$1)-$L5,{0,365,2190,5476},{0,14,20,26}),
IF(AND(YEAR(TODAY())=Veri2!AB$1,TODAY()-VALUE(DAY($L5)&amp;"."&amp;MONTH($L5)&amp;"."&amp;YEAR(TODAY())-1)&lt;365),""))))=14),
IF(OR($I5="",$L5="",Veri2!AB$1&lt;=YEAR($L5),Veri2!AB$1&gt;YEAR(TODAY())),"",IF(AND(Veri2!AB$1-YEAR($L5)&gt;=1,YEAR(TODAY())&lt;&gt;Veri2!AB$1),
LOOKUP(VALUE("31"&amp;"."&amp;"12"&amp;"."&amp;Veri2!AB$1)-$L5,{365,2190,5476},{20,20,26}),
IF(AND(YEAR(TODAY())=Veri2!AB$1,TODAY()-VALUE(DAY($L5)&amp;"."&amp;MONTH($L5)&amp;"."&amp;YEAR(TODAY())-1)&gt;=365),
LOOKUP(VALUE(DAY(TODAY())&amp;"."&amp;MONTH(TODAY())&amp;"."&amp;Veri2!AB$1)-$L5,{0,365,2190,5476},{0,20,20,26}),
IF(AND(YEAR(TODAY())=Veri2!AB$1,TODAY()-VALUE(DAY($L5)&amp;"."&amp;MONTH($L5)&amp;"."&amp;YEAR(TODAY())-1)&lt;365),"")))),
IF(OR($I5="",$L5="",Veri2!AB$1&lt;=YEAR($L5),Veri2!AB$1&gt;YEAR(TODAY())),"",IF(AND(Veri2!AB$1-YEAR($L5)&gt;=1,YEAR(TODAY())&lt;&gt;Veri2!AB$1),
LOOKUP(VALUE("31"&amp;"."&amp;"12"&amp;"."&amp;Veri2!AB$1)-$L5,{365,2190,5476},{14,20,26}),
IF(AND(YEAR(TODAY())=Veri2!AB$1,TODAY()-VALUE(DAY($L5)&amp;"."&amp;MONTH($L5)&amp;"."&amp;YEAR(TODAY())-1)&gt;=365),
LOOKUP(VALUE(DAY(TODAY())&amp;"."&amp;MONTH(TODAY())&amp;"."&amp;Veri2!AB$1)-$L5,{0,365,2190,5476},{0,14,20,26}),
IF(AND(YEAR(TODAY())=Veri2!AB$1,TODAY()-VALUE(DAY($L5)&amp;"."&amp;MONTH($L5)&amp;"."&amp;YEAR(TODAY())-1)&lt;365),"")))))</f>
        <v/>
      </c>
      <c r="AU5" s="48">
        <f ca="1">IF(AND(INT(DATE(Veri2!AC$1,MONTH($L5),DAY($L5))-DATE(YEAR($M5),MONTH($M5),DAY($M5)))/365.25&gt;=50,
IF(OR($I5="",$L5="",Veri2!AC$1&lt;=YEAR($L5),Veri2!AC$1&gt;YEAR(TODAY())),"",IF(AND(Veri2!AC$1-YEAR($L5)&gt;=1,YEAR(TODAY())&lt;&gt;Veri2!AC$1),
LOOKUP(VALUE("31"&amp;"."&amp;"12"&amp;"."&amp;Veri2!AC$1)-$L5,{365,2190,5476},{14,20,26}),
IF(AND(YEAR(TODAY())=Veri2!AC$1,TODAY()-VALUE(DAY($L5)&amp;"."&amp;MONTH($L5)&amp;"."&amp;YEAR(TODAY())-1)&gt;=365),
LOOKUP(VALUE(DAY(TODAY())&amp;"."&amp;MONTH(TODAY())&amp;"."&amp;Veri2!AC$1)-$L5,{0,365,2190,5476},{0,14,20,26}),
IF(AND(YEAR(TODAY())=Veri2!AC$1,TODAY()-VALUE(DAY($L5)&amp;"."&amp;MONTH($L5)&amp;"."&amp;YEAR(TODAY())-1)&lt;365),""))))=14),
IF(OR($I5="",$L5="",Veri2!AC$1&lt;=YEAR($L5),Veri2!AC$1&gt;YEAR(TODAY())),"",IF(AND(Veri2!AC$1-YEAR($L5)&gt;=1,YEAR(TODAY())&lt;&gt;Veri2!AC$1),
LOOKUP(VALUE("31"&amp;"."&amp;"12"&amp;"."&amp;Veri2!AC$1)-$L5,{365,2190,5476},{20,20,26}),
IF(AND(YEAR(TODAY())=Veri2!AC$1,TODAY()-VALUE(DAY($L5)&amp;"."&amp;MONTH($L5)&amp;"."&amp;YEAR(TODAY())-1)&gt;=365),
LOOKUP(VALUE(DAY(TODAY())&amp;"."&amp;MONTH(TODAY())&amp;"."&amp;Veri2!AC$1)-$L5,{0,365,2190,5476},{0,20,20,26}),
IF(AND(YEAR(TODAY())=Veri2!AC$1,TODAY()-VALUE(DAY($L5)&amp;"."&amp;MONTH($L5)&amp;"."&amp;YEAR(TODAY())-1)&lt;365),"")))),
IF(OR($I5="",$L5="",Veri2!AC$1&lt;=YEAR($L5),Veri2!AC$1&gt;YEAR(TODAY())),"",IF(AND(Veri2!AC$1-YEAR($L5)&gt;=1,YEAR(TODAY())&lt;&gt;Veri2!AC$1),
LOOKUP(VALUE("31"&amp;"."&amp;"12"&amp;"."&amp;Veri2!AC$1)-$L5,{365,2190,5476},{14,20,26}),
IF(AND(YEAR(TODAY())=Veri2!AC$1,TODAY()-VALUE(DAY($L5)&amp;"."&amp;MONTH($L5)&amp;"."&amp;YEAR(TODAY())-1)&gt;=365),
LOOKUP(VALUE(DAY(TODAY())&amp;"."&amp;MONTH(TODAY())&amp;"."&amp;Veri2!AC$1)-$L5,{0,365,2190,5476},{0,14,20,26}),
IF(AND(YEAR(TODAY())=Veri2!AC$1,TODAY()-VALUE(DAY($L5)&amp;"."&amp;MONTH($L5)&amp;"."&amp;YEAR(TODAY())-1)&lt;365),"")))))</f>
        <v>14</v>
      </c>
      <c r="AV5" s="48">
        <f ca="1">IFERROR(IF(OR($L5=0, $L5="", DATE(Veri2!AD$1, MONTH($L5), DAY($L5))&lt;=$L5, DATE(Veri2!AD$1, MONTH($L5), DAY($L5))&gt;TODAY()), "", IF((DATEDIF($L5, DATE(Veri2!AD$1, MONTH($L5), DAY($L5)), "y")+$BW5)&lt;1, 0, IF(OR(DATEDIF($M5, DATE(Veri2!AD$1, MONTH($L5), DAY($L5)), "y")&gt;=50, DATEDIF($M5, DATE(Veri2!AD$1, MONTH($L5), DAY($L5)), "y")&lt;=18), IF((DATEDIF($L5, DATE(Veri2!AD$1, MONTH($L5), DAY($L5)), "y")+$BW5)&gt;=15, 26, 20), IF((DATEDIF($L5, DATE(Veri2!AD$1, MONTH($L5), DAY($L5)), "y")+$BW5)&gt;=15, 26, IF((DATEDIF($L5, DATE(Veri2!AD$1, MONTH($L5), DAY($L5)), "y")+$BW5)&gt;=5, 20, 14))))), "")</f>
        <v>14</v>
      </c>
      <c r="AW5" s="48">
        <f ca="1">IFERROR(IF(OR($L5=0, $L5="", DATE(Veri2!AE$1, MONTH($L5), DAY($L5))&lt;=$L5, DATE(Veri2!AE$1, MONTH($L5), DAY($L5))&gt;TODAY()), "",
    IF((DATEDIF($L5, DATE(Veri2!AE$1, MONTH($L5), DAY($L5)), "y")+$BW5)&lt;1, 0,
        IF(OR(DATEDIF($M5, DATE(Veri2!AE$1, MONTH($L5), DAY($L5)), "y")&gt;=50, DATEDIF($M5, DATE(Veri2!AE$1, MONTH($L5), DAY($L5)), "y")&lt;=18),
            IF((DATEDIF($L5, DATE(Veri2!AE$1, MONTH($L5), DAY($L5)), "y")+$BW5)&gt;=15, 26, 20),
            IF((DATEDIF($L5, DATE(Veri2!AE$1, MONTH($L5), DAY($L5)), "y")+$BW5)&gt;=15, 26,
                IF((DATEDIF($L5, DATE(Veri2!AE$1, MONTH($L5), DAY($L5)), "y")+$BW5)&gt;5, 20, 14))
        )
    )
), "")</f>
        <v>14</v>
      </c>
      <c r="AX5" s="48" t="str">
        <f ca="1">IFERROR(IF(OR($L5=0, $L5="", DATE(Veri2!AF$1, MONTH($L5), DAY($L5))&lt;=$L5, DATE(Veri2!AF$1, MONTH($L5), DAY($L5))&gt;TODAY()), "",
    IF((DATEDIF($L5, DATE(Veri2!AF$1, MONTH($L5), DAY($L5)), "y")+$BW5)&lt;1, 0,
        IF(OR(DATEDIF($M5, DATE(Veri2!AF$1, MONTH($L5), DAY($L5)), "y")&gt;=50, DATEDIF($M5, DATE(Veri2!AF$1, MONTH($L5), DAY($L5)), "y")&lt;=18),
            IF((DATEDIF($L5, DATE(Veri2!AF$1, MONTH($L5), DAY($L5)), "y")+$BW5)&gt;=15, 26, 20),
            IF((DATEDIF($L5, DATE(Veri2!AF$1, MONTH($L5), DAY($L5)), "y")+$BW5)&gt;=15, 26,
                IF((DATEDIF($L5, DATE(Veri2!AF$1, MONTH($L5), DAY($L5)), "y")+$BW5)&gt;5, 20, 14))
        )
    )
), "")</f>
        <v/>
      </c>
      <c r="AY5" s="48" t="str">
        <f ca="1">IFERROR(IF(OR($L5=0, $L5="", DATE(Veri2!AG$1, MONTH($L5), DAY($L5))&lt;=$L5, DATE(Veri2!AG$1, MONTH($L5), DAY($L5))&gt;TODAY()), "",
    IF((DATEDIF($L5, DATE(Veri2!AG$1, MONTH($L5), DAY($L5)), "y")+$BW5)&lt;1, 0,
        IF(OR(DATEDIF($M5, DATE(Veri2!AG$1, MONTH($L5), DAY($L5)), "y")&gt;=50, DATEDIF($M5, DATE(Veri2!AG$1, MONTH($L5), DAY($L5)), "y")&lt;=18),
            IF((DATEDIF($L5, DATE(Veri2!AG$1, MONTH($L5), DAY($L5)), "y")+$BW5)&gt;=15, 26, 20),
            IF((DATEDIF($L5, DATE(Veri2!AG$1, MONTH($L5), DAY($L5)), "y")+$BW5)&gt;=15, 26,
                IF((DATEDIF($L5, DATE(Veri2!AG$1, MONTH($L5), DAY($L5)), "y")+$BW5)&gt;5, 20, 14))
        )
    )
), "")</f>
        <v/>
      </c>
      <c r="AZ5" s="48" t="str">
        <f ca="1">IFERROR(IF(OR($L5=0, $L5="", DATE(Veri2!AH$1, MONTH($L5), DAY($L5))&lt;=$L5, DATE(Veri2!AH$1, MONTH($L5), DAY($L5))&gt;TODAY()), "",
    IF((DATEDIF($L5, DATE(Veri2!AH$1, MONTH($L5), DAY($L5)), "y")+$BW5)&lt;1, 0,
        IF(OR(DATEDIF($M5, DATE(Veri2!AH$1, MONTH($L5), DAY($L5)), "y")&gt;=50, DATEDIF($M5, DATE(Veri2!AH$1, MONTH($L5), DAY($L5)), "y")&lt;=18),
            IF((DATEDIF($L5, DATE(Veri2!AH$1, MONTH($L5), DAY($L5)), "y")+$BW5)&gt;=15, 26, 20),
            IF((DATEDIF($L5, DATE(Veri2!AH$1, MONTH($L5), DAY($L5)), "y")+$BW5)&gt;=15, 26,
                IF((DATEDIF($L5, DATE(Veri2!AH$1, MONTH($L5), DAY($L5)), "y")+$BW5)&gt;5, 20, 14))
        )
    )
), "")</f>
        <v/>
      </c>
      <c r="BA5" s="48" t="str">
        <f ca="1">IFERROR(IF(OR($L5=0, $L5="", DATE(Veri2!AI$1, MONTH($L5), DAY($L5))&lt;=$L5, DATE(Veri2!AI$1, MONTH($L5), DAY($L5))&gt;TODAY()), "",
    IF((DATEDIF($L5, DATE(Veri2!AI$1, MONTH($L5), DAY($L5)), "y")+$BW5)&lt;1, 0,
        IF(OR(DATEDIF($M5, DATE(Veri2!AI$1, MONTH($L5), DAY($L5)), "y")&gt;=50, DATEDIF($M5, DATE(Veri2!AI$1, MONTH($L5), DAY($L5)), "y")&lt;=18),
            IF((DATEDIF($L5, DATE(Veri2!AI$1, MONTH($L5), DAY($L5)), "y")+$BW5)&gt;=15, 26, 20),
            IF((DATEDIF($L5, DATE(Veri2!AI$1, MONTH($L5), DAY($L5)), "y")+$BW5)&gt;=15, 26,
                IF((DATEDIF($L5, DATE(Veri2!AI$1, MONTH($L5), DAY($L5)), "y")+$BW5)&gt;5, 20, 14))
        )
    )
), "")</f>
        <v/>
      </c>
      <c r="BB5" s="48" t="str">
        <f ca="1">IFERROR(IF(OR($L5=0, $L5="", DATE(Veri2!AJ$1, MONTH($L5), DAY($L5))&lt;=$L5, DATE(Veri2!AJ$1, MONTH($L5), DAY($L5))&gt;TODAY()), "",
    IF((DATEDIF($L5, DATE(Veri2!AJ$1, MONTH($L5), DAY($L5)), "y")+$BW5)&lt;1, 0,
        IF(OR(DATEDIF($M5, DATE(Veri2!AJ$1, MONTH($L5), DAY($L5)), "y")&gt;=50, DATEDIF($M5, DATE(Veri2!AJ$1, MONTH($L5), DAY($L5)), "y")&lt;=18),
            IF((DATEDIF($L5, DATE(Veri2!AJ$1, MONTH($L5), DAY($L5)), "y")+$BW5)&gt;=15, 26, 20),
            IF((DATEDIF($L5, DATE(Veri2!AJ$1, MONTH($L5), DAY($L5)), "y")+$BW5)&gt;=15, 26,
                IF((DATEDIF($L5, DATE(Veri2!AJ$1, MONTH($L5), DAY($L5)), "y")+$BW5)&gt;5, 20, 14))
        )
    )
), "")</f>
        <v/>
      </c>
      <c r="BC5" s="48" t="str">
        <f ca="1">IFERROR(IF(OR($L5=0, $L5="", DATE(Veri2!AK$1, MONTH($L5), DAY($L5))&lt;=$L5, DATE(Veri2!AK$1, MONTH($L5), DAY($L5))&gt;TODAY()), "",
    IF((DATEDIF($L5, DATE(Veri2!AK$1, MONTH($L5), DAY($L5)), "y")+$BW5)&lt;1, 0,
        IF(OR(DATEDIF($M5, DATE(Veri2!AK$1, MONTH($L5), DAY($L5)), "y")&gt;=50, DATEDIF($M5, DATE(Veri2!AK$1, MONTH($L5), DAY($L5)), "y")&lt;=18),
            IF((DATEDIF($L5, DATE(Veri2!AK$1, MONTH($L5), DAY($L5)), "y")+$BW5)&gt;=15, 26, 20),
            IF((DATEDIF($L5, DATE(Veri2!AK$1, MONTH($L5), DAY($L5)), "y")+$BW5)&gt;=15, 26,
                IF((DATEDIF($L5, DATE(Veri2!AK$1, MONTH($L5), DAY($L5)), "y")+$BW5)&gt;5, 20, 14))
        )
    )
), "")</f>
        <v/>
      </c>
      <c r="BD5" s="48" t="str">
        <f ca="1">IFERROR(IF(OR($L5=0, $L5="", DATE(Veri2!AL$1, MONTH($L5), DAY($L5))&lt;=$L5, DATE(Veri2!AL$1, MONTH($L5), DAY($L5))&gt;TODAY()), "",
    IF((DATEDIF($L5, DATE(Veri2!AL$1, MONTH($L5), DAY($L5)), "y")+$BW5)&lt;1, 0,
        IF(OR(DATEDIF($M5, DATE(Veri2!AL$1, MONTH($L5), DAY($L5)), "y")&gt;=50, DATEDIF($M5, DATE(Veri2!AL$1, MONTH($L5), DAY($L5)), "y")&lt;=18),
            IF((DATEDIF($L5, DATE(Veri2!AL$1, MONTH($L5), DAY($L5)), "y")+$BW5)&gt;=15, 26, 20),
            IF((DATEDIF($L5, DATE(Veri2!AL$1, MONTH($L5), DAY($L5)), "y")+$BW5)&gt;=15, 26,
                IF((DATEDIF($L5, DATE(Veri2!AL$1, MONTH($L5), DAY($L5)), "y")+$BW5)&gt;5, 20, 14))
        )
    )
), "")</f>
        <v/>
      </c>
      <c r="BE5" s="48" t="str">
        <f ca="1">IFERROR(IF(OR($L5=0, $L5="", DATE(Veri2!AM$1, MONTH($L5), DAY($L5))&lt;=$L5, DATE(Veri2!AM$1, MONTH($L5), DAY($L5))&gt;TODAY()), "",
    IF((DATEDIF($L5, DATE(Veri2!AM$1, MONTH($L5), DAY($L5)), "y")+$BW5)&lt;1, 0,
        IF(OR(DATEDIF($M5, DATE(Veri2!AM$1, MONTH($L5), DAY($L5)), "y")&gt;=50, DATEDIF($M5, DATE(Veri2!AM$1, MONTH($L5), DAY($L5)), "y")&lt;=18),
            IF((DATEDIF($L5, DATE(Veri2!AM$1, MONTH($L5), DAY($L5)), "y")+$BW5)&gt;=15, 26, 20),
            IF((DATEDIF($L5, DATE(Veri2!AM$1, MONTH($L5), DAY($L5)), "y")+$BW5)&gt;=15, 26,
                IF((DATEDIF($L5, DATE(Veri2!AM$1, MONTH($L5), DAY($L5)), "y")+$BW5)&gt;5, 20, 14))
        )
    )
), "")</f>
        <v/>
      </c>
      <c r="BF5" s="48" t="str">
        <f ca="1">IFERROR(IF(OR($L5=0, $L5="", DATE(Veri2!AN$1, MONTH($L5), DAY($L5))&lt;=$L5, DATE(Veri2!AN$1, MONTH($L5), DAY($L5))&gt;TODAY()), "",
    IF((DATEDIF($L5, DATE(Veri2!AN$1, MONTH($L5), DAY($L5)), "y")+$BW5)&lt;1, 0,
        IF(OR(DATEDIF($M5, DATE(Veri2!AN$1, MONTH($L5), DAY($L5)), "y")&gt;=50, DATEDIF($M5, DATE(Veri2!AN$1, MONTH($L5), DAY($L5)), "y")&lt;=18),
            IF((DATEDIF($L5, DATE(Veri2!AN$1, MONTH($L5), DAY($L5)), "y")+$BW5)&gt;=15, 26, 20),
            IF((DATEDIF($L5, DATE(Veri2!AN$1, MONTH($L5), DAY($L5)), "y")+$BW5)&gt;=15, 26,
                IF((DATEDIF($L5, DATE(Veri2!AN$1, MONTH($L5), DAY($L5)), "y")+$BW5)&gt;5, 20, 14))
        )
    )
), "")</f>
        <v/>
      </c>
      <c r="BG5" s="48" t="str">
        <f ca="1">IFERROR(IF(OR($L5=0, $L5="", DATE(Veri2!AO$1, MONTH($L5), DAY($L5))&lt;=$L5, DATE(Veri2!AO$1, MONTH($L5), DAY($L5))&gt;TODAY()), "",
    IF((DATEDIF($L5, DATE(Veri2!AO$1, MONTH($L5), DAY($L5)), "y")+$BW5)&lt;1, 0,
        IF(OR(DATEDIF($M5, DATE(Veri2!AO$1, MONTH($L5), DAY($L5)), "y")&gt;=50, DATEDIF($M5, DATE(Veri2!AO$1, MONTH($L5), DAY($L5)), "y")&lt;=18),
            IF((DATEDIF($L5, DATE(Veri2!AO$1, MONTH($L5), DAY($L5)), "y")+$BW5)&gt;=15, 26, 20),
            IF((DATEDIF($L5, DATE(Veri2!AO$1, MONTH($L5), DAY($L5)), "y")+$BW5)&gt;=15, 26,
                IF((DATEDIF($L5, DATE(Veri2!AO$1, MONTH($L5), DAY($L5)), "y")+$BW5)&gt;5, 20, 14))
        )
    )
), "")</f>
        <v/>
      </c>
      <c r="BH5" s="48" t="str">
        <f ca="1">IFERROR(IF(OR($L5=0, $L5="", DATE(Veri2!AP$1, MONTH($L5), DAY($L5))&lt;=$L5, DATE(Veri2!AP$1, MONTH($L5), DAY($L5))&gt;TODAY()), "",
    IF((DATEDIF($L5, DATE(Veri2!AP$1, MONTH($L5), DAY($L5)), "y")+$BW5)&lt;1, 0,
        IF(OR(DATEDIF($M5, DATE(Veri2!AP$1, MONTH($L5), DAY($L5)), "y")&gt;=50, DATEDIF($M5, DATE(Veri2!AP$1, MONTH($L5), DAY($L5)), "y")&lt;=18),
            IF((DATEDIF($L5, DATE(Veri2!AP$1, MONTH($L5), DAY($L5)), "y")+$BW5)&gt;=15, 26, 20),
            IF((DATEDIF($L5, DATE(Veri2!AP$1, MONTH($L5), DAY($L5)), "y")+$BW5)&gt;=15, 26,
                IF((DATEDIF($L5, DATE(Veri2!AP$1, MONTH($L5), DAY($L5)), "y")+$BW5)&gt;5, 20, 14))
        )
    )
), "")</f>
        <v/>
      </c>
      <c r="BI5" s="48" t="str">
        <f ca="1">IFERROR(IF(OR($L5=0, $L5="", DATE(Veri2!AQ$1, MONTH($L5), DAY($L5))&lt;=$L5, DATE(Veri2!AQ$1, MONTH($L5), DAY($L5))&gt;TODAY()), "",
    IF((DATEDIF($L5, DATE(Veri2!AQ$1, MONTH($L5), DAY($L5)), "y")+$BW5)&lt;1, 0,
        IF(OR(DATEDIF($M5, DATE(Veri2!AQ$1, MONTH($L5), DAY($L5)), "y")&gt;=50, DATEDIF($M5, DATE(Veri2!AQ$1, MONTH($L5), DAY($L5)), "y")&lt;=18),
            IF((DATEDIF($L5, DATE(Veri2!AQ$1, MONTH($L5), DAY($L5)), "y")+$BW5)&gt;=15, 26, 20),
            IF((DATEDIF($L5, DATE(Veri2!AQ$1, MONTH($L5), DAY($L5)), "y")+$BW5)&gt;=15, 26,
                IF((DATEDIF($L5, DATE(Veri2!AQ$1, MONTH($L5), DAY($L5)), "y")+$BW5)&gt;5, 20, 14))
        )
    )
), "")</f>
        <v/>
      </c>
      <c r="BJ5" s="48" t="str">
        <f ca="1">IFERROR(IF(OR($L5=0, $L5="", DATE(Veri2!AR$1, MONTH($L5), DAY($L5))&lt;=$L5, DATE(Veri2!AR$1, MONTH($L5), DAY($L5))&gt;TODAY()), "",
    IF((DATEDIF($L5, DATE(Veri2!AR$1, MONTH($L5), DAY($L5)), "y")+$BW5)&lt;1, 0,
        IF(OR(DATEDIF($M5, DATE(Veri2!AR$1, MONTH($L5), DAY($L5)), "y")&gt;=50, DATEDIF($M5, DATE(Veri2!AR$1, MONTH($L5), DAY($L5)), "y")&lt;=18),
            IF((DATEDIF($L5, DATE(Veri2!AR$1, MONTH($L5), DAY($L5)), "y")+$BW5)&gt;=15, 26, 20),
            IF((DATEDIF($L5, DATE(Veri2!AR$1, MONTH($L5), DAY($L5)), "y")+$BW5)&gt;=15, 26,
                IF((DATEDIF($L5, DATE(Veri2!AR$1, MONTH($L5), DAY($L5)), "y")+$BW5)&gt;5, 20, 14))
        )
    )
), "")</f>
        <v/>
      </c>
      <c r="BK5" s="48" t="str">
        <f ca="1">IFERROR(IF(OR($L5=0, $L5="", DATE(Veri2!AS$1, MONTH($L5), DAY($L5))&lt;=$L5, DATE(Veri2!AS$1, MONTH($L5), DAY($L5))&gt;TODAY()), "",
    IF((DATEDIF($L5, DATE(Veri2!AS$1, MONTH($L5), DAY($L5)), "y")+$BW5)&lt;1, 0,
        IF(OR(DATEDIF($M5, DATE(Veri2!AS$1, MONTH($L5), DAY($L5)), "y")&gt;=50, DATEDIF($M5, DATE(Veri2!AS$1, MONTH($L5), DAY($L5)), "y")&lt;=18),
            IF((DATEDIF($L5, DATE(Veri2!AS$1, MONTH($L5), DAY($L5)), "y")+$BW5)&gt;=15, 26, 20),
            IF((DATEDIF($L5, DATE(Veri2!AS$1, MONTH($L5), DAY($L5)), "y")+$BW5)&gt;=15, 26,
                IF((DATEDIF($L5, DATE(Veri2!AS$1, MONTH($L5), DAY($L5)), "y")+$BW5)&gt;5, 20, 14))
        )
    )
), "")</f>
        <v/>
      </c>
      <c r="BL5" s="48" t="str">
        <f ca="1">IFERROR(IF(OR($L5=0, $L5="", DATE(Veri2!AT$1, MONTH($L5), DAY($L5))&lt;=$L5, DATE(Veri2!AT$1, MONTH($L5), DAY($L5))&gt;TODAY()), "",
    IF((DATEDIF($L5, DATE(Veri2!AT$1, MONTH($L5), DAY($L5)), "y")+$BW5)&lt;1, 0,
        IF(OR(DATEDIF($M5, DATE(Veri2!AT$1, MONTH($L5), DAY($L5)), "y")&gt;=50, DATEDIF($M5, DATE(Veri2!AT$1, MONTH($L5), DAY($L5)), "y")&lt;=18),
            IF((DATEDIF($L5, DATE(Veri2!AT$1, MONTH($L5), DAY($L5)), "y")+$BW5)&gt;=15, 26, 20),
            IF((DATEDIF($L5, DATE(Veri2!AT$1, MONTH($L5), DAY($L5)), "y")+$BW5)&gt;=15, 26,
                IF((DATEDIF($L5, DATE(Veri2!AT$1, MONTH($L5), DAY($L5)), "y")+$BW5)&gt;5, 20, 14))
        )
    )
), "")</f>
        <v/>
      </c>
      <c r="BM5" s="48" t="str">
        <f ca="1">IFERROR(IF(OR($L5=0, $L5="", DATE(Veri2!AU$1, MONTH($L5), DAY($L5))&lt;=$L5, DATE(Veri2!AU$1, MONTH($L5), DAY($L5))&gt;TODAY()), "",
    IF((DATEDIF($L5, DATE(Veri2!AU$1, MONTH($L5), DAY($L5)), "y")+$BW5)&lt;1, 0,
        IF(OR(DATEDIF($M5, DATE(Veri2!AU$1, MONTH($L5), DAY($L5)), "y")&gt;=50, DATEDIF($M5, DATE(Veri2!AU$1, MONTH($L5), DAY($L5)), "y")&lt;=18),
            IF((DATEDIF($L5, DATE(Veri2!AU$1, MONTH($L5), DAY($L5)), "y")+$BW5)&gt;=15, 26, 20),
            IF((DATEDIF($L5, DATE(Veri2!AU$1, MONTH($L5), DAY($L5)), "y")+$BW5)&gt;=15, 26,
                IF((DATEDIF($L5, DATE(Veri2!AU$1, MONTH($L5), DAY($L5)), "y")+$BW5)&gt;5, 20, 14))
        )
    )
), "")</f>
        <v/>
      </c>
      <c r="BN5" s="48" t="str">
        <f ca="1">IFERROR(IF(OR($L5=0, $L5="", DATE(Veri2!AV$1, MONTH($L5), DAY($L5))&lt;=$L5, DATE(Veri2!AV$1, MONTH($L5), DAY($L5))&gt;TODAY()), "",
    IF((DATEDIF($L5, DATE(Veri2!AV$1, MONTH($L5), DAY($L5)), "y")+$BW5)&lt;1, 0,
        IF(OR(DATEDIF($M5, DATE(Veri2!AV$1, MONTH($L5), DAY($L5)), "y")&gt;=50, DATEDIF($M5, DATE(Veri2!AV$1, MONTH($L5), DAY($L5)), "y")&lt;=18),
            IF((DATEDIF($L5, DATE(Veri2!AV$1, MONTH($L5), DAY($L5)), "y")+$BW5)&gt;=15, 26, 20),
            IF((DATEDIF($L5, DATE(Veri2!AV$1, MONTH($L5), DAY($L5)), "y")+$BW5)&gt;=15, 26,
                IF((DATEDIF($L5, DATE(Veri2!AV$1, MONTH($L5), DAY($L5)), "y")+$BW5)&gt;5, 20, 14))
        )
    )
), "")</f>
        <v/>
      </c>
      <c r="BO5" s="48" t="str">
        <f ca="1">IFERROR(IF(OR($L5=0, $L5="", DATE(Veri2!AW$1, MONTH($L5), DAY($L5))&lt;=$L5, DATE(Veri2!AW$1, MONTH($L5), DAY($L5))&gt;TODAY()), "",
    IF((DATEDIF($L5, DATE(Veri2!AW$1, MONTH($L5), DAY($L5)), "y")+$BW5)&lt;1, 0,
        IF(OR(DATEDIF($M5, DATE(Veri2!AW$1, MONTH($L5), DAY($L5)), "y")&gt;=50, DATEDIF($M5, DATE(Veri2!AW$1, MONTH($L5), DAY($L5)), "y")&lt;=18),
            IF((DATEDIF($L5, DATE(Veri2!AW$1, MONTH($L5), DAY($L5)), "y")+$BW5)&gt;=15, 26, 20),
            IF((DATEDIF($L5, DATE(Veri2!AW$1, MONTH($L5), DAY($L5)), "y")+$BW5)&gt;=15, 26,
                IF((DATEDIF($L5, DATE(Veri2!AW$1, MONTH($L5), DAY($L5)), "y")+$BW5)&gt;5, 20, 14))
        )
    )
), "")</f>
        <v/>
      </c>
      <c r="BP5" s="48" t="str">
        <f ca="1">IFERROR(IF(OR($L5=0, $L5="", DATE(Veri2!AX$1, MONTH($L5), DAY($L5))&lt;=$L5, DATE(Veri2!AX$1, MONTH($L5), DAY($L5))&gt;TODAY()), "",
    IF((DATEDIF($L5, DATE(Veri2!AX$1, MONTH($L5), DAY($L5)), "y")+$BW5)&lt;1, 0,
        IF(OR(DATEDIF($M5, DATE(Veri2!AX$1, MONTH($L5), DAY($L5)), "y")&gt;=50, DATEDIF($M5, DATE(Veri2!AX$1, MONTH($L5), DAY($L5)), "y")&lt;=18),
            IF((DATEDIF($L5, DATE(Veri2!AX$1, MONTH($L5), DAY($L5)), "y")+$BW5)&gt;=15, 26, 20),
            IF((DATEDIF($L5, DATE(Veri2!AX$1, MONTH($L5), DAY($L5)), "y")+$BW5)&gt;=15, 26,
                IF((DATEDIF($L5, DATE(Veri2!AX$1, MONTH($L5), DAY($L5)), "y")+$BW5)&gt;5, 20, 14))
        )
    )
), "")</f>
        <v/>
      </c>
      <c r="BQ5" s="48" t="str">
        <f ca="1">IFERROR(IF(OR($L5=0, $L5="", DATE(Veri2!AY$1, MONTH($L5), DAY($L5))&lt;=$L5, DATE(Veri2!AY$1, MONTH($L5), DAY($L5))&gt;TODAY()), "",
    IF((DATEDIF($L5, DATE(Veri2!AY$1, MONTH($L5), DAY($L5)), "y")+$BW5)&lt;1, 0,
        IF(OR(DATEDIF($M5, DATE(Veri2!AY$1, MONTH($L5), DAY($L5)), "y")&gt;=50, DATEDIF($M5, DATE(Veri2!AY$1, MONTH($L5), DAY($L5)), "y")&lt;=18),
            IF((DATEDIF($L5, DATE(Veri2!AY$1, MONTH($L5), DAY($L5)), "y")+$BW5)&gt;=15, 26, 20),
            IF((DATEDIF($L5, DATE(Veri2!AY$1, MONTH($L5), DAY($L5)), "y")+$BW5)&gt;=15, 26,
                IF((DATEDIF($L5, DATE(Veri2!AY$1, MONTH($L5), DAY($L5)), "y")+$BW5)&gt;5, 20, 14))
        )
    )
), "")</f>
        <v/>
      </c>
      <c r="BR5" s="48" t="str">
        <f ca="1">IFERROR(IF(OR($L5=0, $L5="", DATE(Veri2!AZ$1, MONTH($L5), DAY($L5))&lt;=$L5, DATE(Veri2!AZ$1, MONTH($L5), DAY($L5))&gt;TODAY()), "",
    IF((DATEDIF($L5, DATE(Veri2!AZ$1, MONTH($L5), DAY($L5)), "y")+$BW5)&lt;1, 0,
        IF(OR(DATEDIF($M5, DATE(Veri2!AZ$1, MONTH($L5), DAY($L5)), "y")&gt;=50, DATEDIF($M5, DATE(Veri2!AZ$1, MONTH($L5), DAY($L5)), "y")&lt;=18),
            IF((DATEDIF($L5, DATE(Veri2!AZ$1, MONTH($L5), DAY($L5)), "y")+$BW5)&gt;=15, 26, 20),
            IF((DATEDIF($L5, DATE(Veri2!AZ$1, MONTH($L5), DAY($L5)), "y")+$BW5)&gt;=15, 26,
                IF((DATEDIF($L5, DATE(Veri2!AZ$1, MONTH($L5), DAY($L5)), "y")+$BW5)&gt;5, 20, 14))
        )
    )
), "")</f>
        <v/>
      </c>
      <c r="BS5" s="48" t="str">
        <f ca="1">IFERROR(IF(OR($L5=0, $L5="", DATE(Veri2!BA$1, MONTH($L5), DAY($L5))&lt;=$L5, DATE(Veri2!BA$1, MONTH($L5), DAY($L5))&gt;TODAY()), "",
    IF((DATEDIF($L5, DATE(Veri2!BA$1, MONTH($L5), DAY($L5)), "y")+$BW5)&lt;1, 0,
        IF(OR(DATEDIF($M5, DATE(Veri2!BA$1, MONTH($L5), DAY($L5)), "y")&gt;=50, DATEDIF($M5, DATE(Veri2!BA$1, MONTH($L5), DAY($L5)), "y")&lt;=18),
            IF((DATEDIF($L5, DATE(Veri2!BA$1, MONTH($L5), DAY($L5)), "y")+$BW5)&gt;=15, 26, 20),
            IF((DATEDIF($L5, DATE(Veri2!BA$1, MONTH($L5), DAY($L5)), "y")+$BW5)&gt;=15, 26,
                IF((DATEDIF($L5, DATE(Veri2!BA$1, MONTH($L5), DAY($L5)), "y")+$BW5)&gt;5, 20, 14))
        )
    )
), "")</f>
        <v/>
      </c>
      <c r="BT5" s="48" t="str">
        <f ca="1">IFERROR(IF(OR($L5=0, $L5="", DATE(Veri2!BB$1, MONTH($L5), DAY($L5))&lt;=$L5, DATE(Veri2!BB$1, MONTH($L5), DAY($L5))&gt;TODAY()), "",
    IF((DATEDIF($L5, DATE(Veri2!BB$1, MONTH($L5), DAY($L5)), "y")+$BW5)&lt;1, 0,
        IF(OR(DATEDIF($M5, DATE(Veri2!BB$1, MONTH($L5), DAY($L5)), "y")&gt;=50, DATEDIF($M5, DATE(Veri2!BB$1, MONTH($L5), DAY($L5)), "y")&lt;=18),
            IF((DATEDIF($L5, DATE(Veri2!BB$1, MONTH($L5), DAY($L5)), "y")+$BW5)&gt;=15, 26, 20),
            IF((DATEDIF($L5, DATE(Veri2!BB$1, MONTH($L5), DAY($L5)), "y")+$BW5)&gt;=15, 26,
                IF((DATEDIF($L5, DATE(Veri2!BB$1, MONTH($L5), DAY($L5)), "y")+$BW5)&gt;5, 20, 14))
        )
    )
), "")</f>
        <v/>
      </c>
      <c r="BU5" s="48" t="str">
        <f ca="1">IFERROR(IF(OR($L5=0, $L5="", DATE(Veri2!BC$1, MONTH($L5), DAY($L5))&lt;=$L5, DATE(Veri2!BC$1, MONTH($L5), DAY($L5))&gt;TODAY()), "",
    IF((DATEDIF($L5, DATE(Veri2!BC$1, MONTH($L5), DAY($L5)), "y")+$BW5)&lt;1, 0,
        IF(OR(DATEDIF($M5, DATE(Veri2!BC$1, MONTH($L5), DAY($L5)), "y")&gt;=50, DATEDIF($M5, DATE(Veri2!BC$1, MONTH($L5), DAY($L5)), "y")&lt;=18),
            IF((DATEDIF($L5, DATE(Veri2!BC$1, MONTH($L5), DAY($L5)), "y")+$BW5)&gt;=15, 26, 20),
            IF((DATEDIF($L5, DATE(Veri2!BC$1, MONTH($L5), DAY($L5)), "y")+$BW5)&gt;=15, 26,
                IF((DATEDIF($L5, DATE(Veri2!BC$1, MONTH($L5), DAY($L5)), "y")+$BW5)&gt;5, 20, 14))
        )
    )
), "")</f>
        <v/>
      </c>
      <c r="BV5" s="48" t="str">
        <f ca="1">IFERROR(IF(OR($L5=0, $L5="", DATE(Veri2!BD$1, MONTH($L5), DAY($L5))&lt;=$L5, DATE(Veri2!BD$1, MONTH($L5), DAY($L5))&gt;TODAY()), "",
    IF((DATEDIF($L5, DATE(Veri2!BD$1, MONTH($L5), DAY($L5)), "y")+$BW5)&lt;1, 0,
        IF(OR(DATEDIF($M5, DATE(Veri2!BD$1, MONTH($L5), DAY($L5)), "y")&gt;=50, DATEDIF($M5, DATE(Veri2!BD$1, MONTH($L5), DAY($L5)), "y")&lt;=18),
            IF((DATEDIF($L5, DATE(Veri2!BD$1, MONTH($L5), DAY($L5)), "y")+$BW5)&gt;=15, 26, 20),
            IF((DATEDIF($L5, DATE(Veri2!BD$1, MONTH($L5), DAY($L5)), "y")+$BW5)&gt;=15, 26,
                IF((DATEDIF($L5, DATE(Veri2!BD$1, MONTH($L5), DAY($L5)), "y")+$BW5)&gt;5, 20, 14))
        )
    )
), "")</f>
        <v/>
      </c>
      <c r="BW5" s="35">
        <v>0</v>
      </c>
      <c r="CB5" s="39"/>
      <c r="CC5" s="39"/>
    </row>
    <row r="6" spans="7:81" x14ac:dyDescent="0.25">
      <c r="G6" s="38">
        <v>21601996622</v>
      </c>
      <c r="H6" s="118">
        <v>5829</v>
      </c>
      <c r="I6" s="290" t="s">
        <v>229</v>
      </c>
      <c r="J6" s="37">
        <f>Tablo3[[#This Row],[Sicil No]]</f>
        <v>5829</v>
      </c>
      <c r="K6" s="37" t="s">
        <v>198</v>
      </c>
      <c r="L6" s="60">
        <v>44590</v>
      </c>
      <c r="M6" s="60">
        <v>29521</v>
      </c>
      <c r="N6" s="34">
        <f ca="1">IF(Tablo3[[#This Row],[Doğum Tarihi]]="","",YEAR($H$2)-YEAR(Tablo3[[#This Row],[Doğum Tarihi]]))</f>
        <v>46</v>
      </c>
      <c r="O6" s="34">
        <f ca="1">IF(Tablo3[[#This Row],[Doğum Tarihi]]="","",DATEDIF(Tablo3[[#This Row],[İşe Giriş Tarihi]],$H$2,"Y"))</f>
        <v>4</v>
      </c>
      <c r="P6" s="35">
        <f ca="1">SUM(Tablo3[[#This Row],[1995]:[2050]])</f>
        <v>68</v>
      </c>
      <c r="Q6" s="35">
        <f>SUMIF(Tablo25[Sicil No],Tablo3[[#This Row],[Sicil No]],Tablo25[Toplam İzin Günü])</f>
        <v>58</v>
      </c>
      <c r="R6" s="36">
        <f ca="1">Tablo3[[#This Row],[Toplam Hakediş]]-Tablo3[[#This Row],[Kullanılan İzin]]</f>
        <v>10</v>
      </c>
      <c r="S6" s="289" t="str">
        <f ca="1">IF(AND(INT(DATE(Veri2!A$1,MONTH($L6),DAY($L6))-DATE(YEAR($M6),MONTH($M6),DAY($M6)))/365.25&gt;=50,
IF(OR($I6="",$L6="",Veri2!A$1&lt;=YEAR($L6),Veri2!A$1&gt;YEAR(TODAY())),"",IF(AND(Veri2!A$1-YEAR($L6)&gt;=1,YEAR(TODAY())&lt;&gt;Veri2!A$1),
LOOKUP(VALUE("31"&amp;"."&amp;"12"&amp;"."&amp;Veri2!A$1)-$L6,{365,2190,5476},{14,20,26}),
IF(AND(YEAR(TODAY())=Veri2!A$1,TODAY()-VALUE(DAY($L6)&amp;"."&amp;MONTH($L6)&amp;"."&amp;YEAR(TODAY())-1)&gt;=365),
LOOKUP(VALUE(DAY(TODAY())&amp;"."&amp;MONTH(TODAY())&amp;"."&amp;Veri2!A$1)-$L6,{0,365,2190,5476},{0,14,20,26}),
IF(AND(YEAR(TODAY())=Veri2!A$1,TODAY()-VALUE(DAY($L6)&amp;"."&amp;MONTH($L6)&amp;"."&amp;YEAR(TODAY())-1)&lt;365),""))))=14),
IF(OR($I6="",$L6="",Veri2!A$1&lt;=YEAR($L6),Veri2!A$1&gt;YEAR(TODAY())),"",IF(AND(Veri2!A$1-YEAR($L6)&gt;=1,YEAR(TODAY())&lt;&gt;Veri2!A$1),
LOOKUP(VALUE("31"&amp;"."&amp;"12"&amp;"."&amp;Veri2!A$1)-$L6,{365,2190,5476},{20,20,26}),
IF(AND(YEAR(TODAY())=Veri2!A$1,TODAY()-VALUE(DAY($L6)&amp;"."&amp;MONTH($L6)&amp;"."&amp;YEAR(TODAY())-1)&gt;=365),
LOOKUP(VALUE(DAY(TODAY())&amp;"."&amp;MONTH(TODAY())&amp;"."&amp;Veri2!A$1)-$L6,{0,365,2190,5476},{0,20,20,26}),
IF(AND(YEAR(TODAY())=Veri2!A$1,TODAY()-VALUE(DAY($L6)&amp;"."&amp;MONTH($L6)&amp;"."&amp;YEAR(TODAY())-1)&lt;365),"")))),
IF(OR($I6="",$L6="",Veri2!A$1&lt;=YEAR($L6),Veri2!A$1&gt;YEAR(TODAY())),"",IF(AND(Veri2!A$1-YEAR($L6)&gt;=1,YEAR(TODAY())&lt;&gt;Veri2!A$1),
LOOKUP(VALUE("31"&amp;"."&amp;"12"&amp;"."&amp;Veri2!A$1)-$L6,{365,2190,5476},{14,20,26}),
IF(AND(YEAR(TODAY())=Veri2!A$1,TODAY()-VALUE(DAY($L6)&amp;"."&amp;MONTH($L6)&amp;"."&amp;YEAR(TODAY())-1)&gt;=365),
LOOKUP(VALUE(DAY(TODAY())&amp;"."&amp;MONTH(TODAY())&amp;"."&amp;Veri2!A$1)-$L6,{0,365,2190,5476},{0,14,20,26}),
IF(AND(YEAR(TODAY())=Veri2!A$1,TODAY()-VALUE(DAY($L6)&amp;"."&amp;MONTH($L6)&amp;"."&amp;YEAR(TODAY())-1)&lt;365),"")))))</f>
        <v/>
      </c>
      <c r="T6" s="1" t="str">
        <f ca="1">IF(AND(INT(DATE(Veri2!B$1,MONTH($L6),DAY($L6))-DATE(YEAR($M6),MONTH($M6),DAY($M6)))/365.25&gt;=50,
IF(OR($I6="",$L6="",Veri2!B$1&lt;=YEAR($L6),Veri2!B$1&gt;YEAR(TODAY())),"",IF(AND(Veri2!B$1-YEAR($L6)&gt;=1,YEAR(TODAY())&lt;&gt;Veri2!B$1),
LOOKUP(VALUE("31"&amp;"."&amp;"12"&amp;"."&amp;Veri2!B$1)-$L6,{365,2190,5476},{14,20,26}),
IF(AND(YEAR(TODAY())=Veri2!B$1,TODAY()-VALUE(DAY($L6)&amp;"."&amp;MONTH($L6)&amp;"."&amp;YEAR(TODAY())-1)&gt;=365),
LOOKUP(VALUE(DAY(TODAY())&amp;"."&amp;MONTH(TODAY())&amp;"."&amp;Veri2!B$1)-$L6,{0,365,2190,5476},{0,14,20,26}),
IF(AND(YEAR(TODAY())=Veri2!B$1,TODAY()-VALUE(DAY($L6)&amp;"."&amp;MONTH($L6)&amp;"."&amp;YEAR(TODAY())-1)&lt;365),""))))=14),
IF(OR($I6="",$L6="",Veri2!B$1&lt;=YEAR($L6),Veri2!B$1&gt;YEAR(TODAY())),"",IF(AND(Veri2!B$1-YEAR($L6)&gt;=1,YEAR(TODAY())&lt;&gt;Veri2!B$1),
LOOKUP(VALUE("31"&amp;"."&amp;"12"&amp;"."&amp;Veri2!B$1)-$L6,{365,2190,5476},{20,20,26}),
IF(AND(YEAR(TODAY())=Veri2!B$1,TODAY()-VALUE(DAY($L6)&amp;"."&amp;MONTH($L6)&amp;"."&amp;YEAR(TODAY())-1)&gt;=365),
LOOKUP(VALUE(DAY(TODAY())&amp;"."&amp;MONTH(TODAY())&amp;"."&amp;Veri2!B$1)-$L6,{0,365,2190,5476},{0,20,20,26}),
IF(AND(YEAR(TODAY())=Veri2!B$1,TODAY()-VALUE(DAY($L6)&amp;"."&amp;MONTH($L6)&amp;"."&amp;YEAR(TODAY())-1)&lt;365),"")))),
IF(OR($I6="",$L6="",Veri2!B$1&lt;=YEAR($L6),Veri2!B$1&gt;YEAR(TODAY())),"",IF(AND(Veri2!B$1-YEAR($L6)&gt;=1,YEAR(TODAY())&lt;&gt;Veri2!B$1),
LOOKUP(VALUE("31"&amp;"."&amp;"12"&amp;"."&amp;Veri2!B$1)-$L6,{365,2190,5476},{14,20,26}),
IF(AND(YEAR(TODAY())=Veri2!B$1,TODAY()-VALUE(DAY($L6)&amp;"."&amp;MONTH($L6)&amp;"."&amp;YEAR(TODAY())-1)&gt;=365),
LOOKUP(VALUE(DAY(TODAY())&amp;"."&amp;MONTH(TODAY())&amp;"."&amp;Veri2!B$1)-$L6,{0,365,2190,5476},{0,14,20,26}),
IF(AND(YEAR(TODAY())=Veri2!B$1,TODAY()-VALUE(DAY($L6)&amp;"."&amp;MONTH($L6)&amp;"."&amp;YEAR(TODAY())-1)&lt;365),"")))))</f>
        <v/>
      </c>
      <c r="U6" s="1" t="str">
        <f ca="1">IF(AND(INT(DATE(Veri2!C$1,MONTH($L6),DAY($L6))-DATE(YEAR($M6),MONTH($M6),DAY($M6)))/365.25&gt;=50,
IF(OR($I6="",$L6="",Veri2!C$1&lt;=YEAR($L6),Veri2!C$1&gt;YEAR(TODAY())),"",IF(AND(Veri2!C$1-YEAR($L6)&gt;=1,YEAR(TODAY())&lt;&gt;Veri2!C$1),
LOOKUP(VALUE("31"&amp;"."&amp;"12"&amp;"."&amp;Veri2!C$1)-$L6,{365,2190,5476},{14,20,26}),
IF(AND(YEAR(TODAY())=Veri2!C$1,TODAY()-VALUE(DAY($L6)&amp;"."&amp;MONTH($L6)&amp;"."&amp;YEAR(TODAY())-1)&gt;=365),
LOOKUP(VALUE(DAY(TODAY())&amp;"."&amp;MONTH(TODAY())&amp;"."&amp;Veri2!C$1)-$L6,{0,365,2190,5476},{0,14,20,26}),
IF(AND(YEAR(TODAY())=Veri2!C$1,TODAY()-VALUE(DAY($L6)&amp;"."&amp;MONTH($L6)&amp;"."&amp;YEAR(TODAY())-1)&lt;365),""))))=14),
IF(OR($I6="",$L6="",Veri2!C$1&lt;=YEAR($L6),Veri2!C$1&gt;YEAR(TODAY())),"",IF(AND(Veri2!C$1-YEAR($L6)&gt;=1,YEAR(TODAY())&lt;&gt;Veri2!C$1),
LOOKUP(VALUE("31"&amp;"."&amp;"12"&amp;"."&amp;Veri2!C$1)-$L6,{365,2190,5476},{20,20,26}),
IF(AND(YEAR(TODAY())=Veri2!C$1,TODAY()-VALUE(DAY($L6)&amp;"."&amp;MONTH($L6)&amp;"."&amp;YEAR(TODAY())-1)&gt;=365),
LOOKUP(VALUE(DAY(TODAY())&amp;"."&amp;MONTH(TODAY())&amp;"."&amp;Veri2!C$1)-$L6,{0,365,2190,5476},{0,20,20,26}),
IF(AND(YEAR(TODAY())=Veri2!C$1,TODAY()-VALUE(DAY($L6)&amp;"."&amp;MONTH($L6)&amp;"."&amp;YEAR(TODAY())-1)&lt;365),"")))),
IF(OR($I6="",$L6="",Veri2!C$1&lt;=YEAR($L6),Veri2!C$1&gt;YEAR(TODAY())),"",IF(AND(Veri2!C$1-YEAR($L6)&gt;=1,YEAR(TODAY())&lt;&gt;Veri2!C$1),
LOOKUP(VALUE("31"&amp;"."&amp;"12"&amp;"."&amp;Veri2!C$1)-$L6,{365,2190,5476},{14,20,26}),
IF(AND(YEAR(TODAY())=Veri2!C$1,TODAY()-VALUE(DAY($L6)&amp;"."&amp;MONTH($L6)&amp;"."&amp;YEAR(TODAY())-1)&gt;=365),
LOOKUP(VALUE(DAY(TODAY())&amp;"."&amp;MONTH(TODAY())&amp;"."&amp;Veri2!C$1)-$L6,{0,365,2190,5476},{0,14,20,26}),
IF(AND(YEAR(TODAY())=Veri2!C$1,TODAY()-VALUE(DAY($L6)&amp;"."&amp;MONTH($L6)&amp;"."&amp;YEAR(TODAY())-1)&lt;365),"")))))</f>
        <v/>
      </c>
      <c r="V6" s="1" t="str">
        <f ca="1">IF(AND(INT(DATE(Veri2!D$1,MONTH($L6),DAY($L6))-DATE(YEAR($M6),MONTH($M6),DAY($M6)))/365.25&gt;=50,
IF(OR($I6="",$L6="",Veri2!D$1&lt;=YEAR($L6),Veri2!D$1&gt;YEAR(TODAY())),"",IF(AND(Veri2!D$1-YEAR($L6)&gt;=1,YEAR(TODAY())&lt;&gt;Veri2!D$1),
LOOKUP(VALUE("31"&amp;"."&amp;"12"&amp;"."&amp;Veri2!D$1)-$L6,{365,2190,5476},{14,20,26}),
IF(AND(YEAR(TODAY())=Veri2!D$1,TODAY()-VALUE(DAY($L6)&amp;"."&amp;MONTH($L6)&amp;"."&amp;YEAR(TODAY())-1)&gt;=365),
LOOKUP(VALUE(DAY(TODAY())&amp;"."&amp;MONTH(TODAY())&amp;"."&amp;Veri2!D$1)-$L6,{0,365,2190,5476},{0,14,20,26}),
IF(AND(YEAR(TODAY())=Veri2!D$1,TODAY()-VALUE(DAY($L6)&amp;"."&amp;MONTH($L6)&amp;"."&amp;YEAR(TODAY())-1)&lt;365),""))))=14),
IF(OR($I6="",$L6="",Veri2!D$1&lt;=YEAR($L6),Veri2!D$1&gt;YEAR(TODAY())),"",IF(AND(Veri2!D$1-YEAR($L6)&gt;=1,YEAR(TODAY())&lt;&gt;Veri2!D$1),
LOOKUP(VALUE("31"&amp;"."&amp;"12"&amp;"."&amp;Veri2!D$1)-$L6,{365,2190,5476},{20,20,26}),
IF(AND(YEAR(TODAY())=Veri2!D$1,TODAY()-VALUE(DAY($L6)&amp;"."&amp;MONTH($L6)&amp;"."&amp;YEAR(TODAY())-1)&gt;=365),
LOOKUP(VALUE(DAY(TODAY())&amp;"."&amp;MONTH(TODAY())&amp;"."&amp;Veri2!D$1)-$L6,{0,365,2190,5476},{0,20,20,26}),
IF(AND(YEAR(TODAY())=Veri2!D$1,TODAY()-VALUE(DAY($L6)&amp;"."&amp;MONTH($L6)&amp;"."&amp;YEAR(TODAY())-1)&lt;365),"")))),
IF(OR($I6="",$L6="",Veri2!D$1&lt;=YEAR($L6),Veri2!D$1&gt;YEAR(TODAY())),"",IF(AND(Veri2!D$1-YEAR($L6)&gt;=1,YEAR(TODAY())&lt;&gt;Veri2!D$1),
LOOKUP(VALUE("31"&amp;"."&amp;"12"&amp;"."&amp;Veri2!D$1)-$L6,{365,2190,5476},{14,20,26}),
IF(AND(YEAR(TODAY())=Veri2!D$1,TODAY()-VALUE(DAY($L6)&amp;"."&amp;MONTH($L6)&amp;"."&amp;YEAR(TODAY())-1)&gt;=365),
LOOKUP(VALUE(DAY(TODAY())&amp;"."&amp;MONTH(TODAY())&amp;"."&amp;Veri2!D$1)-$L6,{0,365,2190,5476},{0,14,20,26}),
IF(AND(YEAR(TODAY())=Veri2!D$1,TODAY()-VALUE(DAY($L6)&amp;"."&amp;MONTH($L6)&amp;"."&amp;YEAR(TODAY())-1)&lt;365),"")))))</f>
        <v/>
      </c>
      <c r="W6" s="1" t="str">
        <f ca="1">IF(AND(INT(DATE(Veri2!E$1,MONTH($L6),DAY($L6))-DATE(YEAR($M6),MONTH($M6),DAY($M6)))/365.25&gt;=50,
IF(OR($I6="",$L6="",Veri2!E$1&lt;=YEAR($L6),Veri2!E$1&gt;YEAR(TODAY())),"",IF(AND(Veri2!E$1-YEAR($L6)&gt;=1,YEAR(TODAY())&lt;&gt;Veri2!E$1),
LOOKUP(VALUE("31"&amp;"."&amp;"12"&amp;"."&amp;Veri2!E$1)-$L6,{365,2190,5476},{14,20,26}),
IF(AND(YEAR(TODAY())=Veri2!E$1,TODAY()-VALUE(DAY($L6)&amp;"."&amp;MONTH($L6)&amp;"."&amp;YEAR(TODAY())-1)&gt;=365),
LOOKUP(VALUE(DAY(TODAY())&amp;"."&amp;MONTH(TODAY())&amp;"."&amp;Veri2!E$1)-$L6,{0,365,2190,5476},{0,14,20,26}),
IF(AND(YEAR(TODAY())=Veri2!E$1,TODAY()-VALUE(DAY($L6)&amp;"."&amp;MONTH($L6)&amp;"."&amp;YEAR(TODAY())-1)&lt;365),""))))=14),
IF(OR($I6="",$L6="",Veri2!E$1&lt;=YEAR($L6),Veri2!E$1&gt;YEAR(TODAY())),"",IF(AND(Veri2!E$1-YEAR($L6)&gt;=1,YEAR(TODAY())&lt;&gt;Veri2!E$1),
LOOKUP(VALUE("31"&amp;"."&amp;"12"&amp;"."&amp;Veri2!E$1)-$L6,{365,2190,5476},{20,20,26}),
IF(AND(YEAR(TODAY())=Veri2!E$1,TODAY()-VALUE(DAY($L6)&amp;"."&amp;MONTH($L6)&amp;"."&amp;YEAR(TODAY())-1)&gt;=365),
LOOKUP(VALUE(DAY(TODAY())&amp;"."&amp;MONTH(TODAY())&amp;"."&amp;Veri2!E$1)-$L6,{0,365,2190,5476},{0,20,20,26}),
IF(AND(YEAR(TODAY())=Veri2!E$1,TODAY()-VALUE(DAY($L6)&amp;"."&amp;MONTH($L6)&amp;"."&amp;YEAR(TODAY())-1)&lt;365),"")))),
IF(OR($I6="",$L6="",Veri2!E$1&lt;=YEAR($L6),Veri2!E$1&gt;YEAR(TODAY())),"",IF(AND(Veri2!E$1-YEAR($L6)&gt;=1,YEAR(TODAY())&lt;&gt;Veri2!E$1),
LOOKUP(VALUE("31"&amp;"."&amp;"12"&amp;"."&amp;Veri2!E$1)-$L6,{365,2190,5476},{14,20,26}),
IF(AND(YEAR(TODAY())=Veri2!E$1,TODAY()-VALUE(DAY($L6)&amp;"."&amp;MONTH($L6)&amp;"."&amp;YEAR(TODAY())-1)&gt;=365),
LOOKUP(VALUE(DAY(TODAY())&amp;"."&amp;MONTH(TODAY())&amp;"."&amp;Veri2!E$1)-$L6,{0,365,2190,5476},{0,14,20,26}),
IF(AND(YEAR(TODAY())=Veri2!E$1,TODAY()-VALUE(DAY($L6)&amp;"."&amp;MONTH($L6)&amp;"."&amp;YEAR(TODAY())-1)&lt;365),"")))))</f>
        <v/>
      </c>
      <c r="X6" s="1" t="str">
        <f ca="1">IF(AND(INT(DATE(Veri2!F$1,MONTH($L6),DAY($L6))-DATE(YEAR($M6),MONTH($M6),DAY($M6)))/365.25&gt;=50,
IF(OR($I6="",$L6="",Veri2!F$1&lt;=YEAR($L6),Veri2!F$1&gt;YEAR(TODAY())),"",IF(AND(Veri2!F$1-YEAR($L6)&gt;=1,YEAR(TODAY())&lt;&gt;Veri2!F$1),
LOOKUP(VALUE("31"&amp;"."&amp;"12"&amp;"."&amp;Veri2!F$1)-$L6,{365,2190,5476},{14,20,26}),
IF(AND(YEAR(TODAY())=Veri2!F$1,TODAY()-VALUE(DAY($L6)&amp;"."&amp;MONTH($L6)&amp;"."&amp;YEAR(TODAY())-1)&gt;=365),
LOOKUP(VALUE(DAY(TODAY())&amp;"."&amp;MONTH(TODAY())&amp;"."&amp;Veri2!F$1)-$L6,{0,365,2190,5476},{0,14,20,26}),
IF(AND(YEAR(TODAY())=Veri2!F$1,TODAY()-VALUE(DAY($L6)&amp;"."&amp;MONTH($L6)&amp;"."&amp;YEAR(TODAY())-1)&lt;365),""))))=14),
IF(OR($I6="",$L6="",Veri2!F$1&lt;=YEAR($L6),Veri2!F$1&gt;YEAR(TODAY())),"",IF(AND(Veri2!F$1-YEAR($L6)&gt;=1,YEAR(TODAY())&lt;&gt;Veri2!F$1),
LOOKUP(VALUE("31"&amp;"."&amp;"12"&amp;"."&amp;Veri2!F$1)-$L6,{365,2190,5476},{20,20,26}),
IF(AND(YEAR(TODAY())=Veri2!F$1,TODAY()-VALUE(DAY($L6)&amp;"."&amp;MONTH($L6)&amp;"."&amp;YEAR(TODAY())-1)&gt;=365),
LOOKUP(VALUE(DAY(TODAY())&amp;"."&amp;MONTH(TODAY())&amp;"."&amp;Veri2!F$1)-$L6,{0,365,2190,5476},{0,20,20,26}),
IF(AND(YEAR(TODAY())=Veri2!F$1,TODAY()-VALUE(DAY($L6)&amp;"."&amp;MONTH($L6)&amp;"."&amp;YEAR(TODAY())-1)&lt;365),"")))),
IF(OR($I6="",$L6="",Veri2!F$1&lt;=YEAR($L6),Veri2!F$1&gt;YEAR(TODAY())),"",IF(AND(Veri2!F$1-YEAR($L6)&gt;=1,YEAR(TODAY())&lt;&gt;Veri2!F$1),
LOOKUP(VALUE("31"&amp;"."&amp;"12"&amp;"."&amp;Veri2!F$1)-$L6,{365,2190,5476},{14,20,26}),
IF(AND(YEAR(TODAY())=Veri2!F$1,TODAY()-VALUE(DAY($L6)&amp;"."&amp;MONTH($L6)&amp;"."&amp;YEAR(TODAY())-1)&gt;=365),
LOOKUP(VALUE(DAY(TODAY())&amp;"."&amp;MONTH(TODAY())&amp;"."&amp;Veri2!F$1)-$L6,{0,365,2190,5476},{0,14,20,26}),
IF(AND(YEAR(TODAY())=Veri2!F$1,TODAY()-VALUE(DAY($L6)&amp;"."&amp;MONTH($L6)&amp;"."&amp;YEAR(TODAY())-1)&lt;365),"")))))</f>
        <v/>
      </c>
      <c r="Y6" s="1" t="str">
        <f ca="1">IF(AND(INT(DATE(Veri2!G$1,MONTH($L6),DAY($L6))-DATE(YEAR($M6),MONTH($M6),DAY($M6)))/365.25&gt;=50,
IF(OR($I6="",$L6="",Veri2!G$1&lt;=YEAR($L6),Veri2!G$1&gt;YEAR(TODAY())),"",IF(AND(Veri2!G$1-YEAR($L6)&gt;=1,YEAR(TODAY())&lt;&gt;Veri2!G$1),
LOOKUP(VALUE("31"&amp;"."&amp;"12"&amp;"."&amp;Veri2!G$1)-$L6,{365,2190,5476},{14,20,26}),
IF(AND(YEAR(TODAY())=Veri2!G$1,TODAY()-VALUE(DAY($L6)&amp;"."&amp;MONTH($L6)&amp;"."&amp;YEAR(TODAY())-1)&gt;=365),
LOOKUP(VALUE(DAY(TODAY())&amp;"."&amp;MONTH(TODAY())&amp;"."&amp;Veri2!G$1)-$L6,{0,365,2190,5476},{0,14,20,26}),
IF(AND(YEAR(TODAY())=Veri2!G$1,TODAY()-VALUE(DAY($L6)&amp;"."&amp;MONTH($L6)&amp;"."&amp;YEAR(TODAY())-1)&lt;365),""))))=14),
IF(OR($I6="",$L6="",Veri2!G$1&lt;=YEAR($L6),Veri2!G$1&gt;YEAR(TODAY())),"",IF(AND(Veri2!G$1-YEAR($L6)&gt;=1,YEAR(TODAY())&lt;&gt;Veri2!G$1),
LOOKUP(VALUE("31"&amp;"."&amp;"12"&amp;"."&amp;Veri2!G$1)-$L6,{365,2190,5476},{20,20,26}),
IF(AND(YEAR(TODAY())=Veri2!G$1,TODAY()-VALUE(DAY($L6)&amp;"."&amp;MONTH($L6)&amp;"."&amp;YEAR(TODAY())-1)&gt;=365),
LOOKUP(VALUE(DAY(TODAY())&amp;"."&amp;MONTH(TODAY())&amp;"."&amp;Veri2!G$1)-$L6,{0,365,2190,5476},{0,20,20,26}),
IF(AND(YEAR(TODAY())=Veri2!G$1,TODAY()-VALUE(DAY($L6)&amp;"."&amp;MONTH($L6)&amp;"."&amp;YEAR(TODAY())-1)&lt;365),"")))),
IF(OR($I6="",$L6="",Veri2!G$1&lt;=YEAR($L6),Veri2!G$1&gt;YEAR(TODAY())),"",IF(AND(Veri2!G$1-YEAR($L6)&gt;=1,YEAR(TODAY())&lt;&gt;Veri2!G$1),
LOOKUP(VALUE("31"&amp;"."&amp;"12"&amp;"."&amp;Veri2!G$1)-$L6,{365,2190,5476},{14,20,26}),
IF(AND(YEAR(TODAY())=Veri2!G$1,TODAY()-VALUE(DAY($L6)&amp;"."&amp;MONTH($L6)&amp;"."&amp;YEAR(TODAY())-1)&gt;=365),
LOOKUP(VALUE(DAY(TODAY())&amp;"."&amp;MONTH(TODAY())&amp;"."&amp;Veri2!G$1)-$L6,{0,365,2190,5476},{0,14,20,26}),
IF(AND(YEAR(TODAY())=Veri2!G$1,TODAY()-VALUE(DAY($L6)&amp;"."&amp;MONTH($L6)&amp;"."&amp;YEAR(TODAY())-1)&lt;365),"")))))</f>
        <v/>
      </c>
      <c r="Z6" s="1" t="str">
        <f ca="1">IF(AND(INT(DATE(Veri2!H$1,MONTH($L6),DAY($L6))-DATE(YEAR($M6),MONTH($M6),DAY($M6)))/365.25&gt;=50,
IF(OR($I6="",$L6="",Veri2!H$1&lt;=YEAR($L6),Veri2!H$1&gt;YEAR(TODAY())),"",IF(AND(Veri2!H$1-YEAR($L6)&gt;=1,YEAR(TODAY())&lt;&gt;Veri2!H$1),
LOOKUP(VALUE("31"&amp;"."&amp;"12"&amp;"."&amp;Veri2!H$1)-$L6,{365,2190,5476},{14,20,26}),
IF(AND(YEAR(TODAY())=Veri2!H$1,TODAY()-VALUE(DAY($L6)&amp;"."&amp;MONTH($L6)&amp;"."&amp;YEAR(TODAY())-1)&gt;=365),
LOOKUP(VALUE(DAY(TODAY())&amp;"."&amp;MONTH(TODAY())&amp;"."&amp;Veri2!H$1)-$L6,{0,365,2190,5476},{0,14,20,26}),
IF(AND(YEAR(TODAY())=Veri2!H$1,TODAY()-VALUE(DAY($L6)&amp;"."&amp;MONTH($L6)&amp;"."&amp;YEAR(TODAY())-1)&lt;365),""))))=14),
IF(OR($I6="",$L6="",Veri2!H$1&lt;=YEAR($L6),Veri2!H$1&gt;YEAR(TODAY())),"",IF(AND(Veri2!H$1-YEAR($L6)&gt;=1,YEAR(TODAY())&lt;&gt;Veri2!H$1),
LOOKUP(VALUE("31"&amp;"."&amp;"12"&amp;"."&amp;Veri2!H$1)-$L6,{365,2190,5476},{20,20,26}),
IF(AND(YEAR(TODAY())=Veri2!H$1,TODAY()-VALUE(DAY($L6)&amp;"."&amp;MONTH($L6)&amp;"."&amp;YEAR(TODAY())-1)&gt;=365),
LOOKUP(VALUE(DAY(TODAY())&amp;"."&amp;MONTH(TODAY())&amp;"."&amp;Veri2!H$1)-$L6,{0,365,2190,5476},{0,20,20,26}),
IF(AND(YEAR(TODAY())=Veri2!H$1,TODAY()-VALUE(DAY($L6)&amp;"."&amp;MONTH($L6)&amp;"."&amp;YEAR(TODAY())-1)&lt;365),"")))),
IF(OR($I6="",$L6="",Veri2!H$1&lt;=YEAR($L6),Veri2!H$1&gt;YEAR(TODAY())),"",IF(AND(Veri2!H$1-YEAR($L6)&gt;=1,YEAR(TODAY())&lt;&gt;Veri2!H$1),
LOOKUP(VALUE("31"&amp;"."&amp;"12"&amp;"."&amp;Veri2!H$1)-$L6,{365,2190,5476},{14,20,26}),
IF(AND(YEAR(TODAY())=Veri2!H$1,TODAY()-VALUE(DAY($L6)&amp;"."&amp;MONTH($L6)&amp;"."&amp;YEAR(TODAY())-1)&gt;=365),
LOOKUP(VALUE(DAY(TODAY())&amp;"."&amp;MONTH(TODAY())&amp;"."&amp;Veri2!H$1)-$L6,{0,365,2190,5476},{0,14,20,26}),
IF(AND(YEAR(TODAY())=Veri2!H$1,TODAY()-VALUE(DAY($L6)&amp;"."&amp;MONTH($L6)&amp;"."&amp;YEAR(TODAY())-1)&lt;365),"")))))</f>
        <v/>
      </c>
      <c r="AA6" s="1" t="str">
        <f ca="1">IF(AND(INT(DATE(Veri2!I$1,MONTH($L6),DAY($L6))-DATE(YEAR($M6),MONTH($M6),DAY($M6)))/365.25&gt;=50,
IF(OR($I6="",$L6="",Veri2!I$1&lt;=YEAR($L6),Veri2!I$1&gt;YEAR(TODAY())),"",IF(AND(Veri2!I$1-YEAR($L6)&gt;=1,YEAR(TODAY())&lt;&gt;Veri2!I$1),
LOOKUP(VALUE("31"&amp;"."&amp;"12"&amp;"."&amp;Veri2!I$1)-$L6,{365,2190,5476},{14,20,26}),
IF(AND(YEAR(TODAY())=Veri2!I$1,TODAY()-VALUE(DAY($L6)&amp;"."&amp;MONTH($L6)&amp;"."&amp;YEAR(TODAY())-1)&gt;=365),
LOOKUP(VALUE(DAY(TODAY())&amp;"."&amp;MONTH(TODAY())&amp;"."&amp;Veri2!I$1)-$L6,{0,365,2190,5476},{0,14,20,26}),
IF(AND(YEAR(TODAY())=Veri2!I$1,TODAY()-VALUE(DAY($L6)&amp;"."&amp;MONTH($L6)&amp;"."&amp;YEAR(TODAY())-1)&lt;365),""))))=14),
IF(OR($I6="",$L6="",Veri2!I$1&lt;=YEAR($L6),Veri2!I$1&gt;YEAR(TODAY())),"",IF(AND(Veri2!I$1-YEAR($L6)&gt;=1,YEAR(TODAY())&lt;&gt;Veri2!I$1),
LOOKUP(VALUE("31"&amp;"."&amp;"12"&amp;"."&amp;Veri2!I$1)-$L6,{365,2190,5476},{20,20,26}),
IF(AND(YEAR(TODAY())=Veri2!I$1,TODAY()-VALUE(DAY($L6)&amp;"."&amp;MONTH($L6)&amp;"."&amp;YEAR(TODAY())-1)&gt;=365),
LOOKUP(VALUE(DAY(TODAY())&amp;"."&amp;MONTH(TODAY())&amp;"."&amp;Veri2!I$1)-$L6,{0,365,2190,5476},{0,20,20,26}),
IF(AND(YEAR(TODAY())=Veri2!I$1,TODAY()-VALUE(DAY($L6)&amp;"."&amp;MONTH($L6)&amp;"."&amp;YEAR(TODAY())-1)&lt;365),"")))),
IF(OR($I6="",$L6="",Veri2!I$1&lt;=YEAR($L6),Veri2!I$1&gt;YEAR(TODAY())),"",IF(AND(Veri2!I$1-YEAR($L6)&gt;=1,YEAR(TODAY())&lt;&gt;Veri2!I$1),
LOOKUP(VALUE("31"&amp;"."&amp;"12"&amp;"."&amp;Veri2!I$1)-$L6,{365,2190,5476},{14,20,26}),
IF(AND(YEAR(TODAY())=Veri2!I$1,TODAY()-VALUE(DAY($L6)&amp;"."&amp;MONTH($L6)&amp;"."&amp;YEAR(TODAY())-1)&gt;=365),
LOOKUP(VALUE(DAY(TODAY())&amp;"."&amp;MONTH(TODAY())&amp;"."&amp;Veri2!I$1)-$L6,{0,365,2190,5476},{0,14,20,26}),
IF(AND(YEAR(TODAY())=Veri2!I$1,TODAY()-VALUE(DAY($L6)&amp;"."&amp;MONTH($L6)&amp;"."&amp;YEAR(TODAY())-1)&lt;365),"")))))</f>
        <v/>
      </c>
      <c r="AB6" s="48" t="str">
        <f ca="1">IF(AND(INT(DATE(Veri2!J$1,MONTH($L6),DAY($L6))-DATE(YEAR($M6),MONTH($M6),DAY($M6)))/365.25&gt;=50,
IF(OR($I6="",$L6="",Veri2!J$1&lt;=YEAR($L6),Veri2!J$1&gt;YEAR(TODAY())),"",IF(AND(Veri2!J$1-YEAR($L6)&gt;=1,YEAR(TODAY())&lt;&gt;Veri2!J$1),
LOOKUP(VALUE("31"&amp;"."&amp;"12"&amp;"."&amp;Veri2!J$1)-$L6,{365,2190,5476},{14,20,26}),
IF(AND(YEAR(TODAY())=Veri2!J$1,TODAY()-VALUE(DAY($L6)&amp;"."&amp;MONTH($L6)&amp;"."&amp;YEAR(TODAY())-1)&gt;=365),
LOOKUP(VALUE(DAY(TODAY())&amp;"."&amp;MONTH(TODAY())&amp;"."&amp;Veri2!J$1)-$L6,{0,365,2190,5476},{0,14,20,26}),
IF(AND(YEAR(TODAY())=Veri2!J$1,TODAY()-VALUE(DAY($L6)&amp;"."&amp;MONTH($L6)&amp;"."&amp;YEAR(TODAY())-1)&lt;365),""))))=14),
IF(OR($I6="",$L6="",Veri2!J$1&lt;=YEAR($L6),Veri2!J$1&gt;YEAR(TODAY())),"",IF(AND(Veri2!J$1-YEAR($L6)&gt;=1,YEAR(TODAY())&lt;&gt;Veri2!J$1),
LOOKUP(VALUE("31"&amp;"."&amp;"12"&amp;"."&amp;Veri2!J$1)-$L6,{365,2190,5476},{20,20,26}),
IF(AND(YEAR(TODAY())=Veri2!J$1,TODAY()-VALUE(DAY($L6)&amp;"."&amp;MONTH($L6)&amp;"."&amp;YEAR(TODAY())-1)&gt;=365),
LOOKUP(VALUE(DAY(TODAY())&amp;"."&amp;MONTH(TODAY())&amp;"."&amp;Veri2!J$1)-$L6,{0,365,2190,5476},{0,20,20,26}),
IF(AND(YEAR(TODAY())=Veri2!J$1,TODAY()-VALUE(DAY($L6)&amp;"."&amp;MONTH($L6)&amp;"."&amp;YEAR(TODAY())-1)&lt;365),"")))),
IF(OR($I6="",$L6="",Veri2!J$1&lt;=YEAR($L6),Veri2!J$1&gt;YEAR(TODAY())),"",IF(AND(Veri2!J$1-YEAR($L6)&gt;=1,YEAR(TODAY())&lt;&gt;Veri2!J$1),
LOOKUP(VALUE("31"&amp;"."&amp;"12"&amp;"."&amp;Veri2!J$1)-$L6,{365,2190,5476},{14,20,26}),
IF(AND(YEAR(TODAY())=Veri2!J$1,TODAY()-VALUE(DAY($L6)&amp;"."&amp;MONTH($L6)&amp;"."&amp;YEAR(TODAY())-1)&gt;=365),
LOOKUP(VALUE(DAY(TODAY())&amp;"."&amp;MONTH(TODAY())&amp;"."&amp;Veri2!J$1)-$L6,{0,365,2190,5476},{0,14,20,26}),
IF(AND(YEAR(TODAY())=Veri2!J$1,TODAY()-VALUE(DAY($L6)&amp;"."&amp;MONTH($L6)&amp;"."&amp;YEAR(TODAY())-1)&lt;365),"")))))</f>
        <v/>
      </c>
      <c r="AC6" s="48" t="str">
        <f ca="1">IF(AND(INT(DATE(Veri2!K$1,MONTH($L6),DAY($L6))-DATE(YEAR($M6),MONTH($M6),DAY($M6)))/365.25&gt;=50,
IF(OR($I6="",$L6="",Veri2!K$1&lt;=YEAR($L6),Veri2!K$1&gt;YEAR(TODAY())),"",IF(AND(Veri2!K$1-YEAR($L6)&gt;=1,YEAR(TODAY())&lt;&gt;Veri2!K$1),
LOOKUP(VALUE("31"&amp;"."&amp;"12"&amp;"."&amp;Veri2!K$1)-$L6,{365,2190,5476},{14,20,26}),
IF(AND(YEAR(TODAY())=Veri2!K$1,TODAY()-VALUE(DAY($L6)&amp;"."&amp;MONTH($L6)&amp;"."&amp;YEAR(TODAY())-1)&gt;=365),
LOOKUP(VALUE(DAY(TODAY())&amp;"."&amp;MONTH(TODAY())&amp;"."&amp;Veri2!K$1)-$L6,{0,365,2190,5476},{0,14,20,26}),
IF(AND(YEAR(TODAY())=Veri2!K$1,TODAY()-VALUE(DAY($L6)&amp;"."&amp;MONTH($L6)&amp;"."&amp;YEAR(TODAY())-1)&lt;365),""))))=14),
IF(OR($I6="",$L6="",Veri2!K$1&lt;=YEAR($L6),Veri2!K$1&gt;YEAR(TODAY())),"",IF(AND(Veri2!K$1-YEAR($L6)&gt;=1,YEAR(TODAY())&lt;&gt;Veri2!K$1),
LOOKUP(VALUE("31"&amp;"."&amp;"12"&amp;"."&amp;Veri2!K$1)-$L6,{365,2190,5476},{20,20,26}),
IF(AND(YEAR(TODAY())=Veri2!K$1,TODAY()-VALUE(DAY($L6)&amp;"."&amp;MONTH($L6)&amp;"."&amp;YEAR(TODAY())-1)&gt;=365),
LOOKUP(VALUE(DAY(TODAY())&amp;"."&amp;MONTH(TODAY())&amp;"."&amp;Veri2!K$1)-$L6,{0,365,2190,5476},{0,20,20,26}),
IF(AND(YEAR(TODAY())=Veri2!K$1,TODAY()-VALUE(DAY($L6)&amp;"."&amp;MONTH($L6)&amp;"."&amp;YEAR(TODAY())-1)&lt;365),"")))),
IF(OR($I6="",$L6="",Veri2!K$1&lt;=YEAR($L6),Veri2!K$1&gt;YEAR(TODAY())),"",IF(AND(Veri2!K$1-YEAR($L6)&gt;=1,YEAR(TODAY())&lt;&gt;Veri2!K$1),
LOOKUP(VALUE("31"&amp;"."&amp;"12"&amp;"."&amp;Veri2!K$1)-$L6,{365,2190,5476},{14,20,26}),
IF(AND(YEAR(TODAY())=Veri2!K$1,TODAY()-VALUE(DAY($L6)&amp;"."&amp;MONTH($L6)&amp;"."&amp;YEAR(TODAY())-1)&gt;=365),
LOOKUP(VALUE(DAY(TODAY())&amp;"."&amp;MONTH(TODAY())&amp;"."&amp;Veri2!K$1)-$L6,{0,365,2190,5476},{0,14,20,26}),
IF(AND(YEAR(TODAY())=Veri2!K$1,TODAY()-VALUE(DAY($L6)&amp;"."&amp;MONTH($L6)&amp;"."&amp;YEAR(TODAY())-1)&lt;365),"")))))</f>
        <v/>
      </c>
      <c r="AD6" s="48" t="str">
        <f ca="1">IF(AND(INT(DATE(Veri2!L$1,MONTH($L6),DAY($L6))-DATE(YEAR($M6),MONTH($M6),DAY($M6)))/365.25&gt;=50,
IF(OR($I6="",$L6="",Veri2!L$1&lt;=YEAR($L6),Veri2!L$1&gt;YEAR(TODAY())),"",IF(AND(Veri2!L$1-YEAR($L6)&gt;=1,YEAR(TODAY())&lt;&gt;Veri2!L$1),
LOOKUP(VALUE("31"&amp;"."&amp;"12"&amp;"."&amp;Veri2!L$1)-$L6,{365,2190,5476},{14,20,26}),
IF(AND(YEAR(TODAY())=Veri2!L$1,TODAY()-VALUE(DAY($L6)&amp;"."&amp;MONTH($L6)&amp;"."&amp;YEAR(TODAY())-1)&gt;=365),
LOOKUP(VALUE(DAY(TODAY())&amp;"."&amp;MONTH(TODAY())&amp;"."&amp;Veri2!L$1)-$L6,{0,365,2190,5476},{0,14,20,26}),
IF(AND(YEAR(TODAY())=Veri2!L$1,TODAY()-VALUE(DAY($L6)&amp;"."&amp;MONTH($L6)&amp;"."&amp;YEAR(TODAY())-1)&lt;365),""))))=14),
IF(OR($I6="",$L6="",Veri2!L$1&lt;=YEAR($L6),Veri2!L$1&gt;YEAR(TODAY())),"",IF(AND(Veri2!L$1-YEAR($L6)&gt;=1,YEAR(TODAY())&lt;&gt;Veri2!L$1),
LOOKUP(VALUE("31"&amp;"."&amp;"12"&amp;"."&amp;Veri2!L$1)-$L6,{365,2190,5476},{20,20,26}),
IF(AND(YEAR(TODAY())=Veri2!L$1,TODAY()-VALUE(DAY($L6)&amp;"."&amp;MONTH($L6)&amp;"."&amp;YEAR(TODAY())-1)&gt;=365),
LOOKUP(VALUE(DAY(TODAY())&amp;"."&amp;MONTH(TODAY())&amp;"."&amp;Veri2!L$1)-$L6,{0,365,2190,5476},{0,20,20,26}),
IF(AND(YEAR(TODAY())=Veri2!L$1,TODAY()-VALUE(DAY($L6)&amp;"."&amp;MONTH($L6)&amp;"."&amp;YEAR(TODAY())-1)&lt;365),"")))),
IF(OR($I6="",$L6="",Veri2!L$1&lt;=YEAR($L6),Veri2!L$1&gt;YEAR(TODAY())),"",IF(AND(Veri2!L$1-YEAR($L6)&gt;=1,YEAR(TODAY())&lt;&gt;Veri2!L$1),
LOOKUP(VALUE("31"&amp;"."&amp;"12"&amp;"."&amp;Veri2!L$1)-$L6,{365,2190,5476},{14,20,26}),
IF(AND(YEAR(TODAY())=Veri2!L$1,TODAY()-VALUE(DAY($L6)&amp;"."&amp;MONTH($L6)&amp;"."&amp;YEAR(TODAY())-1)&gt;=365),
LOOKUP(VALUE(DAY(TODAY())&amp;"."&amp;MONTH(TODAY())&amp;"."&amp;Veri2!L$1)-$L6,{0,365,2190,5476},{0,14,20,26}),
IF(AND(YEAR(TODAY())=Veri2!L$1,TODAY()-VALUE(DAY($L6)&amp;"."&amp;MONTH($L6)&amp;"."&amp;YEAR(TODAY())-1)&lt;365),"")))))</f>
        <v/>
      </c>
      <c r="AE6" s="48" t="str">
        <f ca="1">IF(AND(INT(DATE(Veri2!M$1,MONTH($L6),DAY($L6))-DATE(YEAR($M6),MONTH($M6),DAY($M6)))/365.25&gt;=50,
IF(OR($I6="",$L6="",Veri2!M$1&lt;=YEAR($L6),Veri2!M$1&gt;YEAR(TODAY())),"",IF(AND(Veri2!M$1-YEAR($L6)&gt;=1,YEAR(TODAY())&lt;&gt;Veri2!M$1),
LOOKUP(VALUE("31"&amp;"."&amp;"12"&amp;"."&amp;Veri2!M$1)-$L6,{365,2190,5476},{14,20,26}),
IF(AND(YEAR(TODAY())=Veri2!M$1,TODAY()-VALUE(DAY($L6)&amp;"."&amp;MONTH($L6)&amp;"."&amp;YEAR(TODAY())-1)&gt;=365),
LOOKUP(VALUE(DAY(TODAY())&amp;"."&amp;MONTH(TODAY())&amp;"."&amp;Veri2!M$1)-$L6,{0,365,2190,5476},{0,14,20,26}),
IF(AND(YEAR(TODAY())=Veri2!M$1,TODAY()-VALUE(DAY($L6)&amp;"."&amp;MONTH($L6)&amp;"."&amp;YEAR(TODAY())-1)&lt;365),""))))=14),
IF(OR($I6="",$L6="",Veri2!M$1&lt;=YEAR($L6),Veri2!M$1&gt;YEAR(TODAY())),"",IF(AND(Veri2!M$1-YEAR($L6)&gt;=1,YEAR(TODAY())&lt;&gt;Veri2!M$1),
LOOKUP(VALUE("31"&amp;"."&amp;"12"&amp;"."&amp;Veri2!M$1)-$L6,{365,2190,5476},{20,20,26}),
IF(AND(YEAR(TODAY())=Veri2!M$1,TODAY()-VALUE(DAY($L6)&amp;"."&amp;MONTH($L6)&amp;"."&amp;YEAR(TODAY())-1)&gt;=365),
LOOKUP(VALUE(DAY(TODAY())&amp;"."&amp;MONTH(TODAY())&amp;"."&amp;Veri2!M$1)-$L6,{0,365,2190,5476},{0,20,20,26}),
IF(AND(YEAR(TODAY())=Veri2!M$1,TODAY()-VALUE(DAY($L6)&amp;"."&amp;MONTH($L6)&amp;"."&amp;YEAR(TODAY())-1)&lt;365),"")))),
IF(OR($I6="",$L6="",Veri2!M$1&lt;=YEAR($L6),Veri2!M$1&gt;YEAR(TODAY())),"",IF(AND(Veri2!M$1-YEAR($L6)&gt;=1,YEAR(TODAY())&lt;&gt;Veri2!M$1),
LOOKUP(VALUE("31"&amp;"."&amp;"12"&amp;"."&amp;Veri2!M$1)-$L6,{365,2190,5476},{14,20,26}),
IF(AND(YEAR(TODAY())=Veri2!M$1,TODAY()-VALUE(DAY($L6)&amp;"."&amp;MONTH($L6)&amp;"."&amp;YEAR(TODAY())-1)&gt;=365),
LOOKUP(VALUE(DAY(TODAY())&amp;"."&amp;MONTH(TODAY())&amp;"."&amp;Veri2!M$1)-$L6,{0,365,2190,5476},{0,14,20,26}),
IF(AND(YEAR(TODAY())=Veri2!M$1,TODAY()-VALUE(DAY($L6)&amp;"."&amp;MONTH($L6)&amp;"."&amp;YEAR(TODAY())-1)&lt;365),"")))))</f>
        <v/>
      </c>
      <c r="AF6" s="48" t="str">
        <f ca="1">IF(AND(INT(DATE(Veri2!N$1,MONTH($L6),DAY($L6))-DATE(YEAR($M6),MONTH($M6),DAY($M6)))/365.25&gt;=50,
IF(OR($I6="",$L6="",Veri2!N$1&lt;=YEAR($L6),Veri2!N$1&gt;YEAR(TODAY())),"",IF(AND(Veri2!N$1-YEAR($L6)&gt;=1,YEAR(TODAY())&lt;&gt;Veri2!N$1),
LOOKUP(VALUE("31"&amp;"."&amp;"12"&amp;"."&amp;Veri2!N$1)-$L6,{365,2190,5476},{14,20,26}),
IF(AND(YEAR(TODAY())=Veri2!N$1,TODAY()-VALUE(DAY($L6)&amp;"."&amp;MONTH($L6)&amp;"."&amp;YEAR(TODAY())-1)&gt;=365),
LOOKUP(VALUE(DAY(TODAY())&amp;"."&amp;MONTH(TODAY())&amp;"."&amp;Veri2!N$1)-$L6,{0,365,2190,5476},{0,14,20,26}),
IF(AND(YEAR(TODAY())=Veri2!N$1,TODAY()-VALUE(DAY($L6)&amp;"."&amp;MONTH($L6)&amp;"."&amp;YEAR(TODAY())-1)&lt;365),""))))=14),
IF(OR($I6="",$L6="",Veri2!N$1&lt;=YEAR($L6),Veri2!N$1&gt;YEAR(TODAY())),"",IF(AND(Veri2!N$1-YEAR($L6)&gt;=1,YEAR(TODAY())&lt;&gt;Veri2!N$1),
LOOKUP(VALUE("31"&amp;"."&amp;"12"&amp;"."&amp;Veri2!N$1)-$L6,{365,2190,5476},{20,20,26}),
IF(AND(YEAR(TODAY())=Veri2!N$1,TODAY()-VALUE(DAY($L6)&amp;"."&amp;MONTH($L6)&amp;"."&amp;YEAR(TODAY())-1)&gt;=365),
LOOKUP(VALUE(DAY(TODAY())&amp;"."&amp;MONTH(TODAY())&amp;"."&amp;Veri2!N$1)-$L6,{0,365,2190,5476},{0,20,20,26}),
IF(AND(YEAR(TODAY())=Veri2!N$1,TODAY()-VALUE(DAY($L6)&amp;"."&amp;MONTH($L6)&amp;"."&amp;YEAR(TODAY())-1)&lt;365),"")))),
IF(OR($I6="",$L6="",Veri2!N$1&lt;=YEAR($L6),Veri2!N$1&gt;YEAR(TODAY())),"",IF(AND(Veri2!N$1-YEAR($L6)&gt;=1,YEAR(TODAY())&lt;&gt;Veri2!N$1),
LOOKUP(VALUE("31"&amp;"."&amp;"12"&amp;"."&amp;Veri2!N$1)-$L6,{365,2190,5476},{14,20,26}),
IF(AND(YEAR(TODAY())=Veri2!N$1,TODAY()-VALUE(DAY($L6)&amp;"."&amp;MONTH($L6)&amp;"."&amp;YEAR(TODAY())-1)&gt;=365),
LOOKUP(VALUE(DAY(TODAY())&amp;"."&amp;MONTH(TODAY())&amp;"."&amp;Veri2!N$1)-$L6,{0,365,2190,5476},{0,14,20,26}),
IF(AND(YEAR(TODAY())=Veri2!N$1,TODAY()-VALUE(DAY($L6)&amp;"."&amp;MONTH($L6)&amp;"."&amp;YEAR(TODAY())-1)&lt;365),"")))))</f>
        <v/>
      </c>
      <c r="AG6" s="48" t="str">
        <f ca="1">IF(AND(INT(DATE(Veri2!O$1,MONTH($L6),DAY($L6))-DATE(YEAR($M6),MONTH($M6),DAY($M6)))/365.25&gt;=50,
IF(OR($I6="",$L6="",Veri2!O$1&lt;=YEAR($L6),Veri2!O$1&gt;YEAR(TODAY())),"",IF(AND(Veri2!O$1-YEAR($L6)&gt;=1,YEAR(TODAY())&lt;&gt;Veri2!O$1),
LOOKUP(VALUE("31"&amp;"."&amp;"12"&amp;"."&amp;Veri2!O$1)-$L6,{365,2190,5476},{14,20,26}),
IF(AND(YEAR(TODAY())=Veri2!O$1,TODAY()-VALUE(DAY($L6)&amp;"."&amp;MONTH($L6)&amp;"."&amp;YEAR(TODAY())-1)&gt;=365),
LOOKUP(VALUE(DAY(TODAY())&amp;"."&amp;MONTH(TODAY())&amp;"."&amp;Veri2!O$1)-$L6,{0,365,2190,5476},{0,14,20,26}),
IF(AND(YEAR(TODAY())=Veri2!O$1,TODAY()-VALUE(DAY($L6)&amp;"."&amp;MONTH($L6)&amp;"."&amp;YEAR(TODAY())-1)&lt;365),""))))=14),
IF(OR($I6="",$L6="",Veri2!O$1&lt;=YEAR($L6),Veri2!O$1&gt;YEAR(TODAY())),"",IF(AND(Veri2!O$1-YEAR($L6)&gt;=1,YEAR(TODAY())&lt;&gt;Veri2!O$1),
LOOKUP(VALUE("31"&amp;"."&amp;"12"&amp;"."&amp;Veri2!O$1)-$L6,{365,2190,5476},{20,20,26}),
IF(AND(YEAR(TODAY())=Veri2!O$1,TODAY()-VALUE(DAY($L6)&amp;"."&amp;MONTH($L6)&amp;"."&amp;YEAR(TODAY())-1)&gt;=365),
LOOKUP(VALUE(DAY(TODAY())&amp;"."&amp;MONTH(TODAY())&amp;"."&amp;Veri2!O$1)-$L6,{0,365,2190,5476},{0,20,20,26}),
IF(AND(YEAR(TODAY())=Veri2!O$1,TODAY()-VALUE(DAY($L6)&amp;"."&amp;MONTH($L6)&amp;"."&amp;YEAR(TODAY())-1)&lt;365),"")))),
IF(OR($I6="",$L6="",Veri2!O$1&lt;=YEAR($L6),Veri2!O$1&gt;YEAR(TODAY())),"",IF(AND(Veri2!O$1-YEAR($L6)&gt;=1,YEAR(TODAY())&lt;&gt;Veri2!O$1),
LOOKUP(VALUE("31"&amp;"."&amp;"12"&amp;"."&amp;Veri2!O$1)-$L6,{365,2190,5476},{14,20,26}),
IF(AND(YEAR(TODAY())=Veri2!O$1,TODAY()-VALUE(DAY($L6)&amp;"."&amp;MONTH($L6)&amp;"."&amp;YEAR(TODAY())-1)&gt;=365),
LOOKUP(VALUE(DAY(TODAY())&amp;"."&amp;MONTH(TODAY())&amp;"."&amp;Veri2!O$1)-$L6,{0,365,2190,5476},{0,14,20,26}),
IF(AND(YEAR(TODAY())=Veri2!O$1,TODAY()-VALUE(DAY($L6)&amp;"."&amp;MONTH($L6)&amp;"."&amp;YEAR(TODAY())-1)&lt;365),"")))))</f>
        <v/>
      </c>
      <c r="AH6" s="48" t="str">
        <f ca="1">IF(AND(INT(DATE(Veri2!P$1,MONTH($L6),DAY($L6))-DATE(YEAR($M6),MONTH($M6),DAY($M6)))/365.25&gt;=50,
IF(OR($I6="",$L6="",Veri2!P$1&lt;=YEAR($L6),Veri2!P$1&gt;YEAR(TODAY())),"",IF(AND(Veri2!P$1-YEAR($L6)&gt;=1,YEAR(TODAY())&lt;&gt;Veri2!P$1),
LOOKUP(VALUE("31"&amp;"."&amp;"12"&amp;"."&amp;Veri2!P$1)-$L6,{365,2190,5476},{14,20,26}),
IF(AND(YEAR(TODAY())=Veri2!P$1,TODAY()-VALUE(DAY($L6)&amp;"."&amp;MONTH($L6)&amp;"."&amp;YEAR(TODAY())-1)&gt;=365),
LOOKUP(VALUE(DAY(TODAY())&amp;"."&amp;MONTH(TODAY())&amp;"."&amp;Veri2!P$1)-$L6,{0,365,2190,5476},{0,14,20,26}),
IF(AND(YEAR(TODAY())=Veri2!P$1,TODAY()-VALUE(DAY($L6)&amp;"."&amp;MONTH($L6)&amp;"."&amp;YEAR(TODAY())-1)&lt;365),""))))=14),
IF(OR($I6="",$L6="",Veri2!P$1&lt;=YEAR($L6),Veri2!P$1&gt;YEAR(TODAY())),"",IF(AND(Veri2!P$1-YEAR($L6)&gt;=1,YEAR(TODAY())&lt;&gt;Veri2!P$1),
LOOKUP(VALUE("31"&amp;"."&amp;"12"&amp;"."&amp;Veri2!P$1)-$L6,{365,2190,5476},{20,20,26}),
IF(AND(YEAR(TODAY())=Veri2!P$1,TODAY()-VALUE(DAY($L6)&amp;"."&amp;MONTH($L6)&amp;"."&amp;YEAR(TODAY())-1)&gt;=365),
LOOKUP(VALUE(DAY(TODAY())&amp;"."&amp;MONTH(TODAY())&amp;"."&amp;Veri2!P$1)-$L6,{0,365,2190,5476},{0,20,20,26}),
IF(AND(YEAR(TODAY())=Veri2!P$1,TODAY()-VALUE(DAY($L6)&amp;"."&amp;MONTH($L6)&amp;"."&amp;YEAR(TODAY())-1)&lt;365),"")))),
IF(OR($I6="",$L6="",Veri2!P$1&lt;=YEAR($L6),Veri2!P$1&gt;YEAR(TODAY())),"",IF(AND(Veri2!P$1-YEAR($L6)&gt;=1,YEAR(TODAY())&lt;&gt;Veri2!P$1),
LOOKUP(VALUE("31"&amp;"."&amp;"12"&amp;"."&amp;Veri2!P$1)-$L6,{365,2190,5476},{14,20,26}),
IF(AND(YEAR(TODAY())=Veri2!P$1,TODAY()-VALUE(DAY($L6)&amp;"."&amp;MONTH($L6)&amp;"."&amp;YEAR(TODAY())-1)&gt;=365),
LOOKUP(VALUE(DAY(TODAY())&amp;"."&amp;MONTH(TODAY())&amp;"."&amp;Veri2!P$1)-$L6,{0,365,2190,5476},{0,14,20,26}),
IF(AND(YEAR(TODAY())=Veri2!P$1,TODAY()-VALUE(DAY($L6)&amp;"."&amp;MONTH($L6)&amp;"."&amp;YEAR(TODAY())-1)&lt;365),"")))))</f>
        <v/>
      </c>
      <c r="AI6" s="48" t="str">
        <f ca="1">IF(AND(INT(DATE(Veri2!Q$1,MONTH($L6),DAY($L6))-DATE(YEAR($M6),MONTH($M6),DAY($M6)))/365.25&gt;=50,
IF(OR($I6="",$L6="",Veri2!Q$1&lt;=YEAR($L6),Veri2!Q$1&gt;YEAR(TODAY())),"",IF(AND(Veri2!Q$1-YEAR($L6)&gt;=1,YEAR(TODAY())&lt;&gt;Veri2!Q$1),
LOOKUP(VALUE("31"&amp;"."&amp;"12"&amp;"."&amp;Veri2!Q$1)-$L6,{365,2190,5476},{14,20,26}),
IF(AND(YEAR(TODAY())=Veri2!Q$1,TODAY()-VALUE(DAY($L6)&amp;"."&amp;MONTH($L6)&amp;"."&amp;YEAR(TODAY())-1)&gt;=365),
LOOKUP(VALUE(DAY(TODAY())&amp;"."&amp;MONTH(TODAY())&amp;"."&amp;Veri2!Q$1)-$L6,{0,365,2190,5476},{0,14,20,26}),
IF(AND(YEAR(TODAY())=Veri2!Q$1,TODAY()-VALUE(DAY($L6)&amp;"."&amp;MONTH($L6)&amp;"."&amp;YEAR(TODAY())-1)&lt;365),""))))=14),
IF(OR($I6="",$L6="",Veri2!Q$1&lt;=YEAR($L6),Veri2!Q$1&gt;YEAR(TODAY())),"",IF(AND(Veri2!Q$1-YEAR($L6)&gt;=1,YEAR(TODAY())&lt;&gt;Veri2!Q$1),
LOOKUP(VALUE("31"&amp;"."&amp;"12"&amp;"."&amp;Veri2!Q$1)-$L6,{365,2190,5476},{20,20,26}),
IF(AND(YEAR(TODAY())=Veri2!Q$1,TODAY()-VALUE(DAY($L6)&amp;"."&amp;MONTH($L6)&amp;"."&amp;YEAR(TODAY())-1)&gt;=365),
LOOKUP(VALUE(DAY(TODAY())&amp;"."&amp;MONTH(TODAY())&amp;"."&amp;Veri2!Q$1)-$L6,{0,365,2190,5476},{0,20,20,26}),
IF(AND(YEAR(TODAY())=Veri2!Q$1,TODAY()-VALUE(DAY($L6)&amp;"."&amp;MONTH($L6)&amp;"."&amp;YEAR(TODAY())-1)&lt;365),"")))),
IF(OR($I6="",$L6="",Veri2!Q$1&lt;=YEAR($L6),Veri2!Q$1&gt;YEAR(TODAY())),"",IF(AND(Veri2!Q$1-YEAR($L6)&gt;=1,YEAR(TODAY())&lt;&gt;Veri2!Q$1),
LOOKUP(VALUE("31"&amp;"."&amp;"12"&amp;"."&amp;Veri2!Q$1)-$L6,{365,2190,5476},{14,20,26}),
IF(AND(YEAR(TODAY())=Veri2!Q$1,TODAY()-VALUE(DAY($L6)&amp;"."&amp;MONTH($L6)&amp;"."&amp;YEAR(TODAY())-1)&gt;=365),
LOOKUP(VALUE(DAY(TODAY())&amp;"."&amp;MONTH(TODAY())&amp;"."&amp;Veri2!Q$1)-$L6,{0,365,2190,5476},{0,14,20,26}),
IF(AND(YEAR(TODAY())=Veri2!Q$1,TODAY()-VALUE(DAY($L6)&amp;"."&amp;MONTH($L6)&amp;"."&amp;YEAR(TODAY())-1)&lt;365),"")))))</f>
        <v/>
      </c>
      <c r="AJ6" s="48" t="str">
        <f ca="1">IF(AND(INT(DATE(Veri2!R$1,MONTH($L6),DAY($L6))-DATE(YEAR($M6),MONTH($M6),DAY($M6)))/365.25&gt;=50,
IF(OR($I6="",$L6="",Veri2!R$1&lt;=YEAR($L6),Veri2!R$1&gt;YEAR(TODAY())),"",IF(AND(Veri2!R$1-YEAR($L6)&gt;=1,YEAR(TODAY())&lt;&gt;Veri2!R$1),
LOOKUP(VALUE("31"&amp;"."&amp;"12"&amp;"."&amp;Veri2!R$1)-$L6,{365,2190,5476},{14,20,26}),
IF(AND(YEAR(TODAY())=Veri2!R$1,TODAY()-VALUE(DAY($L6)&amp;"."&amp;MONTH($L6)&amp;"."&amp;YEAR(TODAY())-1)&gt;=365),
LOOKUP(VALUE(DAY(TODAY())&amp;"."&amp;MONTH(TODAY())&amp;"."&amp;Veri2!R$1)-$L6,{0,365,2190,5476},{0,14,20,26}),
IF(AND(YEAR(TODAY())=Veri2!R$1,TODAY()-VALUE(DAY($L6)&amp;"."&amp;MONTH($L6)&amp;"."&amp;YEAR(TODAY())-1)&lt;365),""))))=14),
IF(OR($I6="",$L6="",Veri2!R$1&lt;=YEAR($L6),Veri2!R$1&gt;YEAR(TODAY())),"",IF(AND(Veri2!R$1-YEAR($L6)&gt;=1,YEAR(TODAY())&lt;&gt;Veri2!R$1),
LOOKUP(VALUE("31"&amp;"."&amp;"12"&amp;"."&amp;Veri2!R$1)-$L6,{365,2190,5476},{20,20,26}),
IF(AND(YEAR(TODAY())=Veri2!R$1,TODAY()-VALUE(DAY($L6)&amp;"."&amp;MONTH($L6)&amp;"."&amp;YEAR(TODAY())-1)&gt;=365),
LOOKUP(VALUE(DAY(TODAY())&amp;"."&amp;MONTH(TODAY())&amp;"."&amp;Veri2!R$1)-$L6,{0,365,2190,5476},{0,20,20,26}),
IF(AND(YEAR(TODAY())=Veri2!R$1,TODAY()-VALUE(DAY($L6)&amp;"."&amp;MONTH($L6)&amp;"."&amp;YEAR(TODAY())-1)&lt;365),"")))),
IF(OR($I6="",$L6="",Veri2!R$1&lt;=YEAR($L6),Veri2!R$1&gt;YEAR(TODAY())),"",IF(AND(Veri2!R$1-YEAR($L6)&gt;=1,YEAR(TODAY())&lt;&gt;Veri2!R$1),
LOOKUP(VALUE("31"&amp;"."&amp;"12"&amp;"."&amp;Veri2!R$1)-$L6,{365,2190,5476},{14,20,26}),
IF(AND(YEAR(TODAY())=Veri2!R$1,TODAY()-VALUE(DAY($L6)&amp;"."&amp;MONTH($L6)&amp;"."&amp;YEAR(TODAY())-1)&gt;=365),
LOOKUP(VALUE(DAY(TODAY())&amp;"."&amp;MONTH(TODAY())&amp;"."&amp;Veri2!R$1)-$L6,{0,365,2190,5476},{0,14,20,26}),
IF(AND(YEAR(TODAY())=Veri2!R$1,TODAY()-VALUE(DAY($L6)&amp;"."&amp;MONTH($L6)&amp;"."&amp;YEAR(TODAY())-1)&lt;365),"")))))</f>
        <v/>
      </c>
      <c r="AK6" s="48" t="str">
        <f ca="1">IF(AND(INT(DATE(Veri2!S$1,MONTH($L6),DAY($L6))-DATE(YEAR($M6),MONTH($M6),DAY($M6)))/365.25&gt;=50,
IF(OR($I6="",$L6="",Veri2!S$1&lt;=YEAR($L6),Veri2!S$1&gt;YEAR(TODAY())),"",IF(AND(Veri2!S$1-YEAR($L6)&gt;=1,YEAR(TODAY())&lt;&gt;Veri2!S$1),
LOOKUP(VALUE("31"&amp;"."&amp;"12"&amp;"."&amp;Veri2!S$1)-$L6,{365,2190,5476},{14,20,26}),
IF(AND(YEAR(TODAY())=Veri2!S$1,TODAY()-VALUE(DAY($L6)&amp;"."&amp;MONTH($L6)&amp;"."&amp;YEAR(TODAY())-1)&gt;=365),
LOOKUP(VALUE(DAY(TODAY())&amp;"."&amp;MONTH(TODAY())&amp;"."&amp;Veri2!S$1)-$L6,{0,365,2190,5476},{0,14,20,26}),
IF(AND(YEAR(TODAY())=Veri2!S$1,TODAY()-VALUE(DAY($L6)&amp;"."&amp;MONTH($L6)&amp;"."&amp;YEAR(TODAY())-1)&lt;365),""))))=14),
IF(OR($I6="",$L6="",Veri2!S$1&lt;=YEAR($L6),Veri2!S$1&gt;YEAR(TODAY())),"",IF(AND(Veri2!S$1-YEAR($L6)&gt;=1,YEAR(TODAY())&lt;&gt;Veri2!S$1),
LOOKUP(VALUE("31"&amp;"."&amp;"12"&amp;"."&amp;Veri2!S$1)-$L6,{365,2190,5476},{20,20,26}),
IF(AND(YEAR(TODAY())=Veri2!S$1,TODAY()-VALUE(DAY($L6)&amp;"."&amp;MONTH($L6)&amp;"."&amp;YEAR(TODAY())-1)&gt;=365),
LOOKUP(VALUE(DAY(TODAY())&amp;"."&amp;MONTH(TODAY())&amp;"."&amp;Veri2!S$1)-$L6,{0,365,2190,5476},{0,20,20,26}),
IF(AND(YEAR(TODAY())=Veri2!S$1,TODAY()-VALUE(DAY($L6)&amp;"."&amp;MONTH($L6)&amp;"."&amp;YEAR(TODAY())-1)&lt;365),"")))),
IF(OR($I6="",$L6="",Veri2!S$1&lt;=YEAR($L6),Veri2!S$1&gt;YEAR(TODAY())),"",IF(AND(Veri2!S$1-YEAR($L6)&gt;=1,YEAR(TODAY())&lt;&gt;Veri2!S$1),
LOOKUP(VALUE("31"&amp;"."&amp;"12"&amp;"."&amp;Veri2!S$1)-$L6,{365,2190,5476},{14,20,26}),
IF(AND(YEAR(TODAY())=Veri2!S$1,TODAY()-VALUE(DAY($L6)&amp;"."&amp;MONTH($L6)&amp;"."&amp;YEAR(TODAY())-1)&gt;=365),
LOOKUP(VALUE(DAY(TODAY())&amp;"."&amp;MONTH(TODAY())&amp;"."&amp;Veri2!S$1)-$L6,{0,365,2190,5476},{0,14,20,26}),
IF(AND(YEAR(TODAY())=Veri2!S$1,TODAY()-VALUE(DAY($L6)&amp;"."&amp;MONTH($L6)&amp;"."&amp;YEAR(TODAY())-1)&lt;365),"")))))</f>
        <v/>
      </c>
      <c r="AL6" s="48" t="str">
        <f ca="1">IF(AND(INT(DATE(Veri2!T$1,MONTH($L6),DAY($L6))-DATE(YEAR($M6),MONTH($M6),DAY($M6)))/365.25&gt;=50,
IF(OR($I6="",$L6="",Veri2!T$1&lt;=YEAR($L6),Veri2!T$1&gt;YEAR(TODAY())),"",IF(AND(Veri2!T$1-YEAR($L6)&gt;=1,YEAR(TODAY())&lt;&gt;Veri2!T$1),
LOOKUP(VALUE("31"&amp;"."&amp;"12"&amp;"."&amp;Veri2!T$1)-$L6,{365,2190,5476},{14,20,26}),
IF(AND(YEAR(TODAY())=Veri2!T$1,TODAY()-VALUE(DAY($L6)&amp;"."&amp;MONTH($L6)&amp;"."&amp;YEAR(TODAY())-1)&gt;=365),
LOOKUP(VALUE(DAY(TODAY())&amp;"."&amp;MONTH(TODAY())&amp;"."&amp;Veri2!T$1)-$L6,{0,365,2190,5476},{0,14,20,26}),
IF(AND(YEAR(TODAY())=Veri2!T$1,TODAY()-VALUE(DAY($L6)&amp;"."&amp;MONTH($L6)&amp;"."&amp;YEAR(TODAY())-1)&lt;365),""))))=14),
IF(OR($I6="",$L6="",Veri2!T$1&lt;=YEAR($L6),Veri2!T$1&gt;YEAR(TODAY())),"",IF(AND(Veri2!T$1-YEAR($L6)&gt;=1,YEAR(TODAY())&lt;&gt;Veri2!T$1),
LOOKUP(VALUE("31"&amp;"."&amp;"12"&amp;"."&amp;Veri2!T$1)-$L6,{365,2190,5476},{20,20,26}),
IF(AND(YEAR(TODAY())=Veri2!T$1,TODAY()-VALUE(DAY($L6)&amp;"."&amp;MONTH($L6)&amp;"."&amp;YEAR(TODAY())-1)&gt;=365),
LOOKUP(VALUE(DAY(TODAY())&amp;"."&amp;MONTH(TODAY())&amp;"."&amp;Veri2!T$1)-$L6,{0,365,2190,5476},{0,20,20,26}),
IF(AND(YEAR(TODAY())=Veri2!T$1,TODAY()-VALUE(DAY($L6)&amp;"."&amp;MONTH($L6)&amp;"."&amp;YEAR(TODAY())-1)&lt;365),"")))),
IF(OR($I6="",$L6="",Veri2!T$1&lt;=YEAR($L6),Veri2!T$1&gt;YEAR(TODAY())),"",IF(AND(Veri2!T$1-YEAR($L6)&gt;=1,YEAR(TODAY())&lt;&gt;Veri2!T$1),
LOOKUP(VALUE("31"&amp;"."&amp;"12"&amp;"."&amp;Veri2!T$1)-$L6,{365,2190,5476},{14,20,26}),
IF(AND(YEAR(TODAY())=Veri2!T$1,TODAY()-VALUE(DAY($L6)&amp;"."&amp;MONTH($L6)&amp;"."&amp;YEAR(TODAY())-1)&gt;=365),
LOOKUP(VALUE(DAY(TODAY())&amp;"."&amp;MONTH(TODAY())&amp;"."&amp;Veri2!T$1)-$L6,{0,365,2190,5476},{0,14,20,26}),
IF(AND(YEAR(TODAY())=Veri2!T$1,TODAY()-VALUE(DAY($L6)&amp;"."&amp;MONTH($L6)&amp;"."&amp;YEAR(TODAY())-1)&lt;365),"")))))</f>
        <v/>
      </c>
      <c r="AM6" s="48" t="str">
        <f ca="1">IF(AND(INT(DATE(Veri2!U$1,MONTH($L6),DAY($L6))-DATE(YEAR($M6),MONTH($M6),DAY($M6)))/365.25&gt;=50,
IF(OR($I6="",$L6="",Veri2!U$1&lt;=YEAR($L6),Veri2!U$1&gt;YEAR(TODAY())),"",IF(AND(Veri2!U$1-YEAR($L6)&gt;=1,YEAR(TODAY())&lt;&gt;Veri2!U$1),
LOOKUP(VALUE("31"&amp;"."&amp;"12"&amp;"."&amp;Veri2!U$1)-$L6,{365,2190,5476},{14,20,26}),
IF(AND(YEAR(TODAY())=Veri2!U$1,TODAY()-VALUE(DAY($L6)&amp;"."&amp;MONTH($L6)&amp;"."&amp;YEAR(TODAY())-1)&gt;=365),
LOOKUP(VALUE(DAY(TODAY())&amp;"."&amp;MONTH(TODAY())&amp;"."&amp;Veri2!U$1)-$L6,{0,365,2190,5476},{0,14,20,26}),
IF(AND(YEAR(TODAY())=Veri2!U$1,TODAY()-VALUE(DAY($L6)&amp;"."&amp;MONTH($L6)&amp;"."&amp;YEAR(TODAY())-1)&lt;365),""))))=14),
IF(OR($I6="",$L6="",Veri2!U$1&lt;=YEAR($L6),Veri2!U$1&gt;YEAR(TODAY())),"",IF(AND(Veri2!U$1-YEAR($L6)&gt;=1,YEAR(TODAY())&lt;&gt;Veri2!U$1),
LOOKUP(VALUE("31"&amp;"."&amp;"12"&amp;"."&amp;Veri2!U$1)-$L6,{365,2190,5476},{20,20,26}),
IF(AND(YEAR(TODAY())=Veri2!U$1,TODAY()-VALUE(DAY($L6)&amp;"."&amp;MONTH($L6)&amp;"."&amp;YEAR(TODAY())-1)&gt;=365),
LOOKUP(VALUE(DAY(TODAY())&amp;"."&amp;MONTH(TODAY())&amp;"."&amp;Veri2!U$1)-$L6,{0,365,2190,5476},{0,20,20,26}),
IF(AND(YEAR(TODAY())=Veri2!U$1,TODAY()-VALUE(DAY($L6)&amp;"."&amp;MONTH($L6)&amp;"."&amp;YEAR(TODAY())-1)&lt;365),"")))),
IF(OR($I6="",$L6="",Veri2!U$1&lt;=YEAR($L6),Veri2!U$1&gt;YEAR(TODAY())),"",IF(AND(Veri2!U$1-YEAR($L6)&gt;=1,YEAR(TODAY())&lt;&gt;Veri2!U$1),
LOOKUP(VALUE("31"&amp;"."&amp;"12"&amp;"."&amp;Veri2!U$1)-$L6,{365,2190,5476},{14,20,26}),
IF(AND(YEAR(TODAY())=Veri2!U$1,TODAY()-VALUE(DAY($L6)&amp;"."&amp;MONTH($L6)&amp;"."&amp;YEAR(TODAY())-1)&gt;=365),
LOOKUP(VALUE(DAY(TODAY())&amp;"."&amp;MONTH(TODAY())&amp;"."&amp;Veri2!U$1)-$L6,{0,365,2190,5476},{0,14,20,26}),
IF(AND(YEAR(TODAY())=Veri2!U$1,TODAY()-VALUE(DAY($L6)&amp;"."&amp;MONTH($L6)&amp;"."&amp;YEAR(TODAY())-1)&lt;365),"")))))</f>
        <v/>
      </c>
      <c r="AN6" s="48" t="str">
        <f ca="1">IF(AND(INT(DATE(Veri2!V$1,MONTH($L6),DAY($L6))-DATE(YEAR($M6),MONTH($M6),DAY($M6)))/365.25&gt;=50,
IF(OR($I6="",$L6="",Veri2!V$1&lt;=YEAR($L6),Veri2!V$1&gt;YEAR(TODAY())),"",IF(AND(Veri2!V$1-YEAR($L6)&gt;=1,YEAR(TODAY())&lt;&gt;Veri2!V$1),
LOOKUP(VALUE("31"&amp;"."&amp;"12"&amp;"."&amp;Veri2!V$1)-$L6,{365,2190,5476},{14,20,26}),
IF(AND(YEAR(TODAY())=Veri2!V$1,TODAY()-VALUE(DAY($L6)&amp;"."&amp;MONTH($L6)&amp;"."&amp;YEAR(TODAY())-1)&gt;=365),
LOOKUP(VALUE(DAY(TODAY())&amp;"."&amp;MONTH(TODAY())&amp;"."&amp;Veri2!V$1)-$L6,{0,365,2190,5476},{0,14,20,26}),
IF(AND(YEAR(TODAY())=Veri2!V$1,TODAY()-VALUE(DAY($L6)&amp;"."&amp;MONTH($L6)&amp;"."&amp;YEAR(TODAY())-1)&lt;365),""))))=14),
IF(OR($I6="",$L6="",Veri2!V$1&lt;=YEAR($L6),Veri2!V$1&gt;YEAR(TODAY())),"",IF(AND(Veri2!V$1-YEAR($L6)&gt;=1,YEAR(TODAY())&lt;&gt;Veri2!V$1),
LOOKUP(VALUE("31"&amp;"."&amp;"12"&amp;"."&amp;Veri2!V$1)-$L6,{365,2190,5476},{20,20,26}),
IF(AND(YEAR(TODAY())=Veri2!V$1,TODAY()-VALUE(DAY($L6)&amp;"."&amp;MONTH($L6)&amp;"."&amp;YEAR(TODAY())-1)&gt;=365),
LOOKUP(VALUE(DAY(TODAY())&amp;"."&amp;MONTH(TODAY())&amp;"."&amp;Veri2!V$1)-$L6,{0,365,2190,5476},{0,20,20,26}),
IF(AND(YEAR(TODAY())=Veri2!V$1,TODAY()-VALUE(DAY($L6)&amp;"."&amp;MONTH($L6)&amp;"."&amp;YEAR(TODAY())-1)&lt;365),"")))),
IF(OR($I6="",$L6="",Veri2!V$1&lt;=YEAR($L6),Veri2!V$1&gt;YEAR(TODAY())),"",IF(AND(Veri2!V$1-YEAR($L6)&gt;=1,YEAR(TODAY())&lt;&gt;Veri2!V$1),
LOOKUP(VALUE("31"&amp;"."&amp;"12"&amp;"."&amp;Veri2!V$1)-$L6,{365,2190,5476},{14,20,26}),
IF(AND(YEAR(TODAY())=Veri2!V$1,TODAY()-VALUE(DAY($L6)&amp;"."&amp;MONTH($L6)&amp;"."&amp;YEAR(TODAY())-1)&gt;=365),
LOOKUP(VALUE(DAY(TODAY())&amp;"."&amp;MONTH(TODAY())&amp;"."&amp;Veri2!V$1)-$L6,{0,365,2190,5476},{0,14,20,26}),
IF(AND(YEAR(TODAY())=Veri2!V$1,TODAY()-VALUE(DAY($L6)&amp;"."&amp;MONTH($L6)&amp;"."&amp;YEAR(TODAY())-1)&lt;365),"")))))</f>
        <v/>
      </c>
      <c r="AO6" s="48" t="str">
        <f ca="1">IF(AND(INT(DATE(Veri2!W$1,MONTH($L6),DAY($L6))-DATE(YEAR($M6),MONTH($M6),DAY($M6)))/365.25&gt;=50,
IF(OR($I6="",$L6="",Veri2!W$1&lt;=YEAR($L6),Veri2!W$1&gt;YEAR(TODAY())),"",IF(AND(Veri2!W$1-YEAR($L6)&gt;=1,YEAR(TODAY())&lt;&gt;Veri2!W$1),
LOOKUP(VALUE("31"&amp;"."&amp;"12"&amp;"."&amp;Veri2!W$1)-$L6,{365,2190,5476},{14,20,26}),
IF(AND(YEAR(TODAY())=Veri2!W$1,TODAY()-VALUE(DAY($L6)&amp;"."&amp;MONTH($L6)&amp;"."&amp;YEAR(TODAY())-1)&gt;=365),
LOOKUP(VALUE(DAY(TODAY())&amp;"."&amp;MONTH(TODAY())&amp;"."&amp;Veri2!W$1)-$L6,{0,365,2190,5476},{0,14,20,26}),
IF(AND(YEAR(TODAY())=Veri2!W$1,TODAY()-VALUE(DAY($L6)&amp;"."&amp;MONTH($L6)&amp;"."&amp;YEAR(TODAY())-1)&lt;365),""))))=14),
IF(OR($I6="",$L6="",Veri2!W$1&lt;=YEAR($L6),Veri2!W$1&gt;YEAR(TODAY())),"",IF(AND(Veri2!W$1-YEAR($L6)&gt;=1,YEAR(TODAY())&lt;&gt;Veri2!W$1),
LOOKUP(VALUE("31"&amp;"."&amp;"12"&amp;"."&amp;Veri2!W$1)-$L6,{365,2190,5476},{20,20,26}),
IF(AND(YEAR(TODAY())=Veri2!W$1,TODAY()-VALUE(DAY($L6)&amp;"."&amp;MONTH($L6)&amp;"."&amp;YEAR(TODAY())-1)&gt;=365),
LOOKUP(VALUE(DAY(TODAY())&amp;"."&amp;MONTH(TODAY())&amp;"."&amp;Veri2!W$1)-$L6,{0,365,2190,5476},{0,20,20,26}),
IF(AND(YEAR(TODAY())=Veri2!W$1,TODAY()-VALUE(DAY($L6)&amp;"."&amp;MONTH($L6)&amp;"."&amp;YEAR(TODAY())-1)&lt;365),"")))),
IF(OR($I6="",$L6="",Veri2!W$1&lt;=YEAR($L6),Veri2!W$1&gt;YEAR(TODAY())),"",IF(AND(Veri2!W$1-YEAR($L6)&gt;=1,YEAR(TODAY())&lt;&gt;Veri2!W$1),
LOOKUP(VALUE("31"&amp;"."&amp;"12"&amp;"."&amp;Veri2!W$1)-$L6,{365,2190,5476},{14,20,26}),
IF(AND(YEAR(TODAY())=Veri2!W$1,TODAY()-VALUE(DAY($L6)&amp;"."&amp;MONTH($L6)&amp;"."&amp;YEAR(TODAY())-1)&gt;=365),
LOOKUP(VALUE(DAY(TODAY())&amp;"."&amp;MONTH(TODAY())&amp;"."&amp;Veri2!W$1)-$L6,{0,365,2190,5476},{0,14,20,26}),
IF(AND(YEAR(TODAY())=Veri2!W$1,TODAY()-VALUE(DAY($L6)&amp;"."&amp;MONTH($L6)&amp;"."&amp;YEAR(TODAY())-1)&lt;365),"")))))</f>
        <v/>
      </c>
      <c r="AP6" s="48" t="str">
        <f ca="1">IF(AND(INT(DATE(Veri2!X$1,MONTH($L6),DAY($L6))-DATE(YEAR($M6),MONTH($M6),DAY($M6)))/365.25&gt;=50,
IF(OR($I6="",$L6="",Veri2!X$1&lt;=YEAR($L6),Veri2!X$1&gt;YEAR(TODAY())),"",IF(AND(Veri2!X$1-YEAR($L6)&gt;=1,YEAR(TODAY())&lt;&gt;Veri2!X$1),
LOOKUP(VALUE("31"&amp;"."&amp;"12"&amp;"."&amp;Veri2!X$1)-$L6,{365,2190,5476},{14,20,26}),
IF(AND(YEAR(TODAY())=Veri2!X$1,TODAY()-VALUE(DAY($L6)&amp;"."&amp;MONTH($L6)&amp;"."&amp;YEAR(TODAY())-1)&gt;=365),
LOOKUP(VALUE(DAY(TODAY())&amp;"."&amp;MONTH(TODAY())&amp;"."&amp;Veri2!X$1)-$L6,{0,365,2190,5476},{0,14,20,26}),
IF(AND(YEAR(TODAY())=Veri2!X$1,TODAY()-VALUE(DAY($L6)&amp;"."&amp;MONTH($L6)&amp;"."&amp;YEAR(TODAY())-1)&lt;365),""))))=14),
IF(OR($I6="",$L6="",Veri2!X$1&lt;=YEAR($L6),Veri2!X$1&gt;YEAR(TODAY())),"",IF(AND(Veri2!X$1-YEAR($L6)&gt;=1,YEAR(TODAY())&lt;&gt;Veri2!X$1),
LOOKUP(VALUE("31"&amp;"."&amp;"12"&amp;"."&amp;Veri2!X$1)-$L6,{365,2190,5476},{20,20,26}),
IF(AND(YEAR(TODAY())=Veri2!X$1,TODAY()-VALUE(DAY($L6)&amp;"."&amp;MONTH($L6)&amp;"."&amp;YEAR(TODAY())-1)&gt;=365),
LOOKUP(VALUE(DAY(TODAY())&amp;"."&amp;MONTH(TODAY())&amp;"."&amp;Veri2!X$1)-$L6,{0,365,2190,5476},{0,20,20,26}),
IF(AND(YEAR(TODAY())=Veri2!X$1,TODAY()-VALUE(DAY($L6)&amp;"."&amp;MONTH($L6)&amp;"."&amp;YEAR(TODAY())-1)&lt;365),"")))),
IF(OR($I6="",$L6="",Veri2!X$1&lt;=YEAR($L6),Veri2!X$1&gt;YEAR(TODAY())),"",IF(AND(Veri2!X$1-YEAR($L6)&gt;=1,YEAR(TODAY())&lt;&gt;Veri2!X$1),
LOOKUP(VALUE("31"&amp;"."&amp;"12"&amp;"."&amp;Veri2!X$1)-$L6,{365,2190,5476},{14,20,26}),
IF(AND(YEAR(TODAY())=Veri2!X$1,TODAY()-VALUE(DAY($L6)&amp;"."&amp;MONTH($L6)&amp;"."&amp;YEAR(TODAY())-1)&gt;=365),
LOOKUP(VALUE(DAY(TODAY())&amp;"."&amp;MONTH(TODAY())&amp;"."&amp;Veri2!X$1)-$L6,{0,365,2190,5476},{0,14,20,26}),
IF(AND(YEAR(TODAY())=Veri2!X$1,TODAY()-VALUE(DAY($L6)&amp;"."&amp;MONTH($L6)&amp;"."&amp;YEAR(TODAY())-1)&lt;365),"")))))</f>
        <v/>
      </c>
      <c r="AQ6" s="48" t="str">
        <f ca="1">IF(AND(INT(DATE(Veri2!Y$1,MONTH($L6),DAY($L6))-DATE(YEAR($M6),MONTH($M6),DAY($M6)))/365.25&gt;=50,
IF(OR($I6="",$L6="",Veri2!Y$1&lt;=YEAR($L6),Veri2!Y$1&gt;YEAR(TODAY())),"",IF(AND(Veri2!Y$1-YEAR($L6)&gt;=1,YEAR(TODAY())&lt;&gt;Veri2!Y$1),
LOOKUP(VALUE("31"&amp;"."&amp;"12"&amp;"."&amp;Veri2!Y$1)-$L6,{365,2190,5476},{14,20,26}),
IF(AND(YEAR(TODAY())=Veri2!Y$1,TODAY()-VALUE(DAY($L6)&amp;"."&amp;MONTH($L6)&amp;"."&amp;YEAR(TODAY())-1)&gt;=365),
LOOKUP(VALUE(DAY(TODAY())&amp;"."&amp;MONTH(TODAY())&amp;"."&amp;Veri2!Y$1)-$L6,{0,365,2190,5476},{0,14,20,26}),
IF(AND(YEAR(TODAY())=Veri2!Y$1,TODAY()-VALUE(DAY($L6)&amp;"."&amp;MONTH($L6)&amp;"."&amp;YEAR(TODAY())-1)&lt;365),""))))=14),
IF(OR($I6="",$L6="",Veri2!Y$1&lt;=YEAR($L6),Veri2!Y$1&gt;YEAR(TODAY())),"",IF(AND(Veri2!Y$1-YEAR($L6)&gt;=1,YEAR(TODAY())&lt;&gt;Veri2!Y$1),
LOOKUP(VALUE("31"&amp;"."&amp;"12"&amp;"."&amp;Veri2!Y$1)-$L6,{365,2190,5476},{20,20,26}),
IF(AND(YEAR(TODAY())=Veri2!Y$1,TODAY()-VALUE(DAY($L6)&amp;"."&amp;MONTH($L6)&amp;"."&amp;YEAR(TODAY())-1)&gt;=365),
LOOKUP(VALUE(DAY(TODAY())&amp;"."&amp;MONTH(TODAY())&amp;"."&amp;Veri2!Y$1)-$L6,{0,365,2190,5476},{0,20,20,26}),
IF(AND(YEAR(TODAY())=Veri2!Y$1,TODAY()-VALUE(DAY($L6)&amp;"."&amp;MONTH($L6)&amp;"."&amp;YEAR(TODAY())-1)&lt;365),"")))),
IF(OR($I6="",$L6="",Veri2!Y$1&lt;=YEAR($L6),Veri2!Y$1&gt;YEAR(TODAY())),"",IF(AND(Veri2!Y$1-YEAR($L6)&gt;=1,YEAR(TODAY())&lt;&gt;Veri2!Y$1),
LOOKUP(VALUE("31"&amp;"."&amp;"12"&amp;"."&amp;Veri2!Y$1)-$L6,{365,2190,5476},{14,20,26}),
IF(AND(YEAR(TODAY())=Veri2!Y$1,TODAY()-VALUE(DAY($L6)&amp;"."&amp;MONTH($L6)&amp;"."&amp;YEAR(TODAY())-1)&gt;=365),
LOOKUP(VALUE(DAY(TODAY())&amp;"."&amp;MONTH(TODAY())&amp;"."&amp;Veri2!Y$1)-$L6,{0,365,2190,5476},{0,14,20,26}),
IF(AND(YEAR(TODAY())=Veri2!Y$1,TODAY()-VALUE(DAY($L6)&amp;"."&amp;MONTH($L6)&amp;"."&amp;YEAR(TODAY())-1)&lt;365),"")))))</f>
        <v/>
      </c>
      <c r="AR6" s="48" t="str">
        <f ca="1">IF(AND(INT(DATE(Veri2!Z$1,MONTH($L6),DAY($L6))-DATE(YEAR($M6),MONTH($M6),DAY($M6)))/365.25&gt;=50,
IF(OR($I6="",$L6="",Veri2!Z$1&lt;=YEAR($L6),Veri2!Z$1&gt;YEAR(TODAY())),"",IF(AND(Veri2!Z$1-YEAR($L6)&gt;=1,YEAR(TODAY())&lt;&gt;Veri2!Z$1),
LOOKUP(VALUE("31"&amp;"."&amp;"12"&amp;"."&amp;Veri2!Z$1)-$L6,{365,2190,5476},{14,20,26}),
IF(AND(YEAR(TODAY())=Veri2!Z$1,TODAY()-VALUE(DAY($L6)&amp;"."&amp;MONTH($L6)&amp;"."&amp;YEAR(TODAY())-1)&gt;=365),
LOOKUP(VALUE(DAY(TODAY())&amp;"."&amp;MONTH(TODAY())&amp;"."&amp;Veri2!Z$1)-$L6,{0,365,2190,5476},{0,14,20,26}),
IF(AND(YEAR(TODAY())=Veri2!Z$1,TODAY()-VALUE(DAY($L6)&amp;"."&amp;MONTH($L6)&amp;"."&amp;YEAR(TODAY())-1)&lt;365),""))))=14),
IF(OR($I6="",$L6="",Veri2!Z$1&lt;=YEAR($L6),Veri2!Z$1&gt;YEAR(TODAY())),"",IF(AND(Veri2!Z$1-YEAR($L6)&gt;=1,YEAR(TODAY())&lt;&gt;Veri2!Z$1),
LOOKUP(VALUE("31"&amp;"."&amp;"12"&amp;"."&amp;Veri2!Z$1)-$L6,{365,2190,5476},{20,20,26}),
IF(AND(YEAR(TODAY())=Veri2!Z$1,TODAY()-VALUE(DAY($L6)&amp;"."&amp;MONTH($L6)&amp;"."&amp;YEAR(TODAY())-1)&gt;=365),
LOOKUP(VALUE(DAY(TODAY())&amp;"."&amp;MONTH(TODAY())&amp;"."&amp;Veri2!Z$1)-$L6,{0,365,2190,5476},{0,20,20,26}),
IF(AND(YEAR(TODAY())=Veri2!Z$1,TODAY()-VALUE(DAY($L6)&amp;"."&amp;MONTH($L6)&amp;"."&amp;YEAR(TODAY())-1)&lt;365),"")))),
IF(OR($I6="",$L6="",Veri2!Z$1&lt;=YEAR($L6),Veri2!Z$1&gt;YEAR(TODAY())),"",IF(AND(Veri2!Z$1-YEAR($L6)&gt;=1,YEAR(TODAY())&lt;&gt;Veri2!Z$1),
LOOKUP(VALUE("31"&amp;"."&amp;"12"&amp;"."&amp;Veri2!Z$1)-$L6,{365,2190,5476},{14,20,26}),
IF(AND(YEAR(TODAY())=Veri2!Z$1,TODAY()-VALUE(DAY($L6)&amp;"."&amp;MONTH($L6)&amp;"."&amp;YEAR(TODAY())-1)&gt;=365),
LOOKUP(VALUE(DAY(TODAY())&amp;"."&amp;MONTH(TODAY())&amp;"."&amp;Veri2!Z$1)-$L6,{0,365,2190,5476},{0,14,20,26}),
IF(AND(YEAR(TODAY())=Veri2!Z$1,TODAY()-VALUE(DAY($L6)&amp;"."&amp;MONTH($L6)&amp;"."&amp;YEAR(TODAY())-1)&lt;365),"")))))</f>
        <v/>
      </c>
      <c r="AS6" s="48" t="str">
        <f ca="1">IF(AND(INT(DATE(Veri2!AA$1,MONTH($L6),DAY($L6))-DATE(YEAR($M6),MONTH($M6),DAY($M6)))/365.25&gt;=50,
IF(OR($I6="",$L6="",Veri2!AA$1&lt;=YEAR($L6),Veri2!AA$1&gt;YEAR(TODAY())),"",IF(AND(Veri2!AA$1-YEAR($L6)&gt;=1,YEAR(TODAY())&lt;&gt;Veri2!AA$1),
LOOKUP(VALUE("31"&amp;"."&amp;"12"&amp;"."&amp;Veri2!AA$1)-$L6,{365,2190,5476},{14,20,26}),
IF(AND(YEAR(TODAY())=Veri2!AA$1,TODAY()-VALUE(DAY($L6)&amp;"."&amp;MONTH($L6)&amp;"."&amp;YEAR(TODAY())-1)&gt;=365),
LOOKUP(VALUE(DAY(TODAY())&amp;"."&amp;MONTH(TODAY())&amp;"."&amp;Veri2!AA$1)-$L6,{0,365,2190,5476},{0,14,20,26}),
IF(AND(YEAR(TODAY())=Veri2!AA$1,TODAY()-VALUE(DAY($L6)&amp;"."&amp;MONTH($L6)&amp;"."&amp;YEAR(TODAY())-1)&lt;365),""))))=14),
IF(OR($I6="",$L6="",Veri2!AA$1&lt;=YEAR($L6),Veri2!AA$1&gt;YEAR(TODAY())),"",IF(AND(Veri2!AA$1-YEAR($L6)&gt;=1,YEAR(TODAY())&lt;&gt;Veri2!AA$1),
LOOKUP(VALUE("31"&amp;"."&amp;"12"&amp;"."&amp;Veri2!AA$1)-$L6,{365,2190,5476},{20,20,26}),
IF(AND(YEAR(TODAY())=Veri2!AA$1,TODAY()-VALUE(DAY($L6)&amp;"."&amp;MONTH($L6)&amp;"."&amp;YEAR(TODAY())-1)&gt;=365),
LOOKUP(VALUE(DAY(TODAY())&amp;"."&amp;MONTH(TODAY())&amp;"."&amp;Veri2!AA$1)-$L6,{0,365,2190,5476},{0,20,20,26}),
IF(AND(YEAR(TODAY())=Veri2!AA$1,TODAY()-VALUE(DAY($L6)&amp;"."&amp;MONTH($L6)&amp;"."&amp;YEAR(TODAY())-1)&lt;365),"")))),
IF(OR($I6="",$L6="",Veri2!AA$1&lt;=YEAR($L6),Veri2!AA$1&gt;YEAR(TODAY())),"",IF(AND(Veri2!AA$1-YEAR($L6)&gt;=1,YEAR(TODAY())&lt;&gt;Veri2!AA$1),
LOOKUP(VALUE("31"&amp;"."&amp;"12"&amp;"."&amp;Veri2!AA$1)-$L6,{365,2190,5476},{14,20,26}),
IF(AND(YEAR(TODAY())=Veri2!AA$1,TODAY()-VALUE(DAY($L6)&amp;"."&amp;MONTH($L6)&amp;"."&amp;YEAR(TODAY())-1)&gt;=365),
LOOKUP(VALUE(DAY(TODAY())&amp;"."&amp;MONTH(TODAY())&amp;"."&amp;Veri2!AA$1)-$L6,{0,365,2190,5476},{0,14,20,26}),
IF(AND(YEAR(TODAY())=Veri2!AA$1,TODAY()-VALUE(DAY($L6)&amp;"."&amp;MONTH($L6)&amp;"."&amp;YEAR(TODAY())-1)&lt;365),"")))))</f>
        <v/>
      </c>
      <c r="AT6" s="48" t="str">
        <f ca="1">IF(AND(INT(DATE(Veri2!AB$1,MONTH($L6),DAY($L6))-DATE(YEAR($M6),MONTH($M6),DAY($M6)))/365.25&gt;=50,
IF(OR($I6="",$L6="",Veri2!AB$1&lt;=YEAR($L6),Veri2!AB$1&gt;YEAR(TODAY())),"",IF(AND(Veri2!AB$1-YEAR($L6)&gt;=1,YEAR(TODAY())&lt;&gt;Veri2!AB$1),
LOOKUP(VALUE("31"&amp;"."&amp;"12"&amp;"."&amp;Veri2!AB$1)-$L6,{365,2190,5476},{14,20,26}),
IF(AND(YEAR(TODAY())=Veri2!AB$1,TODAY()-VALUE(DAY($L6)&amp;"."&amp;MONTH($L6)&amp;"."&amp;YEAR(TODAY())-1)&gt;=365),
LOOKUP(VALUE(DAY(TODAY())&amp;"."&amp;MONTH(TODAY())&amp;"."&amp;Veri2!AB$1)-$L6,{0,365,2190,5476},{0,14,20,26}),
IF(AND(YEAR(TODAY())=Veri2!AB$1,TODAY()-VALUE(DAY($L6)&amp;"."&amp;MONTH($L6)&amp;"."&amp;YEAR(TODAY())-1)&lt;365),""))))=14),
IF(OR($I6="",$L6="",Veri2!AB$1&lt;=YEAR($L6),Veri2!AB$1&gt;YEAR(TODAY())),"",IF(AND(Veri2!AB$1-YEAR($L6)&gt;=1,YEAR(TODAY())&lt;&gt;Veri2!AB$1),
LOOKUP(VALUE("31"&amp;"."&amp;"12"&amp;"."&amp;Veri2!AB$1)-$L6,{365,2190,5476},{20,20,26}),
IF(AND(YEAR(TODAY())=Veri2!AB$1,TODAY()-VALUE(DAY($L6)&amp;"."&amp;MONTH($L6)&amp;"."&amp;YEAR(TODAY())-1)&gt;=365),
LOOKUP(VALUE(DAY(TODAY())&amp;"."&amp;MONTH(TODAY())&amp;"."&amp;Veri2!AB$1)-$L6,{0,365,2190,5476},{0,20,20,26}),
IF(AND(YEAR(TODAY())=Veri2!AB$1,TODAY()-VALUE(DAY($L6)&amp;"."&amp;MONTH($L6)&amp;"."&amp;YEAR(TODAY())-1)&lt;365),"")))),
IF(OR($I6="",$L6="",Veri2!AB$1&lt;=YEAR($L6),Veri2!AB$1&gt;YEAR(TODAY())),"",IF(AND(Veri2!AB$1-YEAR($L6)&gt;=1,YEAR(TODAY())&lt;&gt;Veri2!AB$1),
LOOKUP(VALUE("31"&amp;"."&amp;"12"&amp;"."&amp;Veri2!AB$1)-$L6,{365,2190,5476},{14,20,26}),
IF(AND(YEAR(TODAY())=Veri2!AB$1,TODAY()-VALUE(DAY($L6)&amp;"."&amp;MONTH($L6)&amp;"."&amp;YEAR(TODAY())-1)&gt;=365),
LOOKUP(VALUE(DAY(TODAY())&amp;"."&amp;MONTH(TODAY())&amp;"."&amp;Veri2!AB$1)-$L6,{0,365,2190,5476},{0,14,20,26}),
IF(AND(YEAR(TODAY())=Veri2!AB$1,TODAY()-VALUE(DAY($L6)&amp;"."&amp;MONTH($L6)&amp;"."&amp;YEAR(TODAY())-1)&lt;365),"")))))</f>
        <v/>
      </c>
      <c r="AU6" s="48">
        <f ca="1">IF(AND(INT(DATE(Veri2!AC$1,MONTH($L6),DAY($L6))-DATE(YEAR($M6),MONTH($M6),DAY($M6)))/365.25&gt;=50,
IF(OR($I6="",$L6="",Veri2!AC$1&lt;=YEAR($L6),Veri2!AC$1&gt;YEAR(TODAY())),"",IF(AND(Veri2!AC$1-YEAR($L6)&gt;=1,YEAR(TODAY())&lt;&gt;Veri2!AC$1),
LOOKUP(VALUE("31"&amp;"."&amp;"12"&amp;"."&amp;Veri2!AC$1)-$L6,{365,2190,5476},{14,20,26}),
IF(AND(YEAR(TODAY())=Veri2!AC$1,TODAY()-VALUE(DAY($L6)&amp;"."&amp;MONTH($L6)&amp;"."&amp;YEAR(TODAY())-1)&gt;=365),
LOOKUP(VALUE(DAY(TODAY())&amp;"."&amp;MONTH(TODAY())&amp;"."&amp;Veri2!AC$1)-$L6,{0,365,2190,5476},{0,14,20,26}),
IF(AND(YEAR(TODAY())=Veri2!AC$1,TODAY()-VALUE(DAY($L6)&amp;"."&amp;MONTH($L6)&amp;"."&amp;YEAR(TODAY())-1)&lt;365),""))))=14),
IF(OR($I6="",$L6="",Veri2!AC$1&lt;=YEAR($L6),Veri2!AC$1&gt;YEAR(TODAY())),"",IF(AND(Veri2!AC$1-YEAR($L6)&gt;=1,YEAR(TODAY())&lt;&gt;Veri2!AC$1),
LOOKUP(VALUE("31"&amp;"."&amp;"12"&amp;"."&amp;Veri2!AC$1)-$L6,{365,2190,5476},{20,20,26}),
IF(AND(YEAR(TODAY())=Veri2!AC$1,TODAY()-VALUE(DAY($L6)&amp;"."&amp;MONTH($L6)&amp;"."&amp;YEAR(TODAY())-1)&gt;=365),
LOOKUP(VALUE(DAY(TODAY())&amp;"."&amp;MONTH(TODAY())&amp;"."&amp;Veri2!AC$1)-$L6,{0,365,2190,5476},{0,20,20,26}),
IF(AND(YEAR(TODAY())=Veri2!AC$1,TODAY()-VALUE(DAY($L6)&amp;"."&amp;MONTH($L6)&amp;"."&amp;YEAR(TODAY())-1)&lt;365),"")))),
IF(OR($I6="",$L6="",Veri2!AC$1&lt;=YEAR($L6),Veri2!AC$1&gt;YEAR(TODAY())),"",IF(AND(Veri2!AC$1-YEAR($L6)&gt;=1,YEAR(TODAY())&lt;&gt;Veri2!AC$1),
LOOKUP(VALUE("31"&amp;"."&amp;"12"&amp;"."&amp;Veri2!AC$1)-$L6,{365,2190,5476},{14,20,26}),
IF(AND(YEAR(TODAY())=Veri2!AC$1,TODAY()-VALUE(DAY($L6)&amp;"."&amp;MONTH($L6)&amp;"."&amp;YEAR(TODAY())-1)&gt;=365),
LOOKUP(VALUE(DAY(TODAY())&amp;"."&amp;MONTH(TODAY())&amp;"."&amp;Veri2!AC$1)-$L6,{0,365,2190,5476},{0,14,20,26}),
IF(AND(YEAR(TODAY())=Veri2!AC$1,TODAY()-VALUE(DAY($L6)&amp;"."&amp;MONTH($L6)&amp;"."&amp;YEAR(TODAY())-1)&lt;365),"")))))</f>
        <v>14</v>
      </c>
      <c r="AV6" s="48">
        <v>14</v>
      </c>
      <c r="AW6" s="48">
        <f ca="1">IFERROR(IF(OR($L6=0, $L6="", DATE(Veri2!AE$1, MONTH($L6), DAY($L6))&lt;=$L6, DATE(Veri2!AE$1, MONTH($L6), DAY($L6))&gt;TODAY()), "",
    IF((DATEDIF($L6, DATE(Veri2!AE$1, MONTH($L6), DAY($L6)), "y")+$BW6)&lt;1, 0,
        IF(OR(DATEDIF($M6, DATE(Veri2!AE$1, MONTH($L6), DAY($L6)), "y")&gt;=50, DATEDIF($M6, DATE(Veri2!AE$1, MONTH($L6), DAY($L6)), "y")&lt;=18),
            IF((DATEDIF($L6, DATE(Veri2!AE$1, MONTH($L6), DAY($L6)), "y")+$BW6)&gt;=15, 26, 20),
            IF((DATEDIF($L6, DATE(Veri2!AE$1, MONTH($L6), DAY($L6)), "y")+$BW6)&gt;=15, 26,
                IF((DATEDIF($L6, DATE(Veri2!AE$1, MONTH($L6), DAY($L6)), "y")+$BW6)&gt;5, 20, 14))
        )
    )
), "")</f>
        <v>20</v>
      </c>
      <c r="AX6" s="48">
        <f ca="1">IFERROR(IF(OR($L6=0, $L6="", DATE(Veri2!AF$1, MONTH($L6), DAY($L6))&lt;=$L6, DATE(Veri2!AF$1, MONTH($L6), DAY($L6))&gt;TODAY()), "",
    IF((DATEDIF($L6, DATE(Veri2!AF$1, MONTH($L6), DAY($L6)), "y")+$BW6)&lt;1, 0,
        IF(OR(DATEDIF($M6, DATE(Veri2!AF$1, MONTH($L6), DAY($L6)), "y")&gt;=50, DATEDIF($M6, DATE(Veri2!AF$1, MONTH($L6), DAY($L6)), "y")&lt;=18),
            IF((DATEDIF($L6, DATE(Veri2!AF$1, MONTH($L6), DAY($L6)), "y")+$BW6)&gt;=15, 26, 20),
            IF((DATEDIF($L6, DATE(Veri2!AF$1, MONTH($L6), DAY($L6)), "y")+$BW6)&gt;=15, 26,
                IF((DATEDIF($L6, DATE(Veri2!AF$1, MONTH($L6), DAY($L6)), "y")+$BW6)&gt;5, 20, 14))
        )
    )
), "")</f>
        <v>20</v>
      </c>
      <c r="AY6" s="48" t="str">
        <f ca="1">IFERROR(IF(OR($L6=0, $L6="", DATE(Veri2!AG$1, MONTH($L6), DAY($L6))&lt;=$L6, DATE(Veri2!AG$1, MONTH($L6), DAY($L6))&gt;TODAY()), "",
    IF((DATEDIF($L6, DATE(Veri2!AG$1, MONTH($L6), DAY($L6)), "y")+$BW6)&lt;1, 0,
        IF(OR(DATEDIF($M6, DATE(Veri2!AG$1, MONTH($L6), DAY($L6)), "y")&gt;=50, DATEDIF($M6, DATE(Veri2!AG$1, MONTH($L6), DAY($L6)), "y")&lt;=18),
            IF((DATEDIF($L6, DATE(Veri2!AG$1, MONTH($L6), DAY($L6)), "y")+$BW6)&gt;=15, 26, 20),
            IF((DATEDIF($L6, DATE(Veri2!AG$1, MONTH($L6), DAY($L6)), "y")+$BW6)&gt;=15, 26,
                IF((DATEDIF($L6, DATE(Veri2!AG$1, MONTH($L6), DAY($L6)), "y")+$BW6)&gt;5, 20, 14))
        )
    )
), "")</f>
        <v/>
      </c>
      <c r="AZ6" s="48" t="str">
        <f ca="1">IFERROR(IF(OR($L6=0, $L6="", DATE(Veri2!AH$1, MONTH($L6), DAY($L6))&lt;=$L6, DATE(Veri2!AH$1, MONTH($L6), DAY($L6))&gt;TODAY()), "",
    IF((DATEDIF($L6, DATE(Veri2!AH$1, MONTH($L6), DAY($L6)), "y")+$BW6)&lt;1, 0,
        IF(OR(DATEDIF($M6, DATE(Veri2!AH$1, MONTH($L6), DAY($L6)), "y")&gt;=50, DATEDIF($M6, DATE(Veri2!AH$1, MONTH($L6), DAY($L6)), "y")&lt;=18),
            IF((DATEDIF($L6, DATE(Veri2!AH$1, MONTH($L6), DAY($L6)), "y")+$BW6)&gt;=15, 26, 20),
            IF((DATEDIF($L6, DATE(Veri2!AH$1, MONTH($L6), DAY($L6)), "y")+$BW6)&gt;=15, 26,
                IF((DATEDIF($L6, DATE(Veri2!AH$1, MONTH($L6), DAY($L6)), "y")+$BW6)&gt;5, 20, 14))
        )
    )
), "")</f>
        <v/>
      </c>
      <c r="BA6" s="48" t="str">
        <f ca="1">IFERROR(IF(OR($L6=0, $L6="", DATE(Veri2!AI$1, MONTH($L6), DAY($L6))&lt;=$L6, DATE(Veri2!AI$1, MONTH($L6), DAY($L6))&gt;TODAY()), "",
    IF((DATEDIF($L6, DATE(Veri2!AI$1, MONTH($L6), DAY($L6)), "y")+$BW6)&lt;1, 0,
        IF(OR(DATEDIF($M6, DATE(Veri2!AI$1, MONTH($L6), DAY($L6)), "y")&gt;=50, DATEDIF($M6, DATE(Veri2!AI$1, MONTH($L6), DAY($L6)), "y")&lt;=18),
            IF((DATEDIF($L6, DATE(Veri2!AI$1, MONTH($L6), DAY($L6)), "y")+$BW6)&gt;=15, 26, 20),
            IF((DATEDIF($L6, DATE(Veri2!AI$1, MONTH($L6), DAY($L6)), "y")+$BW6)&gt;=15, 26,
                IF((DATEDIF($L6, DATE(Veri2!AI$1, MONTH($L6), DAY($L6)), "y")+$BW6)&gt;5, 20, 14))
        )
    )
), "")</f>
        <v/>
      </c>
      <c r="BB6" s="48" t="str">
        <f ca="1">IFERROR(IF(OR($L6=0, $L6="", DATE(Veri2!AJ$1, MONTH($L6), DAY($L6))&lt;=$L6, DATE(Veri2!AJ$1, MONTH($L6), DAY($L6))&gt;TODAY()), "",
    IF((DATEDIF($L6, DATE(Veri2!AJ$1, MONTH($L6), DAY($L6)), "y")+$BW6)&lt;1, 0,
        IF(OR(DATEDIF($M6, DATE(Veri2!AJ$1, MONTH($L6), DAY($L6)), "y")&gt;=50, DATEDIF($M6, DATE(Veri2!AJ$1, MONTH($L6), DAY($L6)), "y")&lt;=18),
            IF((DATEDIF($L6, DATE(Veri2!AJ$1, MONTH($L6), DAY($L6)), "y")+$BW6)&gt;=15, 26, 20),
            IF((DATEDIF($L6, DATE(Veri2!AJ$1, MONTH($L6), DAY($L6)), "y")+$BW6)&gt;=15, 26,
                IF((DATEDIF($L6, DATE(Veri2!AJ$1, MONTH($L6), DAY($L6)), "y")+$BW6)&gt;5, 20, 14))
        )
    )
), "")</f>
        <v/>
      </c>
      <c r="BC6" s="48" t="str">
        <f ca="1">IFERROR(IF(OR($L6=0, $L6="", DATE(Veri2!AK$1, MONTH($L6), DAY($L6))&lt;=$L6, DATE(Veri2!AK$1, MONTH($L6), DAY($L6))&gt;TODAY()), "",
    IF((DATEDIF($L6, DATE(Veri2!AK$1, MONTH($L6), DAY($L6)), "y")+$BW6)&lt;1, 0,
        IF(OR(DATEDIF($M6, DATE(Veri2!AK$1, MONTH($L6), DAY($L6)), "y")&gt;=50, DATEDIF($M6, DATE(Veri2!AK$1, MONTH($L6), DAY($L6)), "y")&lt;=18),
            IF((DATEDIF($L6, DATE(Veri2!AK$1, MONTH($L6), DAY($L6)), "y")+$BW6)&gt;=15, 26, 20),
            IF((DATEDIF($L6, DATE(Veri2!AK$1, MONTH($L6), DAY($L6)), "y")+$BW6)&gt;=15, 26,
                IF((DATEDIF($L6, DATE(Veri2!AK$1, MONTH($L6), DAY($L6)), "y")+$BW6)&gt;5, 20, 14))
        )
    )
), "")</f>
        <v/>
      </c>
      <c r="BD6" s="48" t="str">
        <f ca="1">IFERROR(IF(OR($L6=0, $L6="", DATE(Veri2!AL$1, MONTH($L6), DAY($L6))&lt;=$L6, DATE(Veri2!AL$1, MONTH($L6), DAY($L6))&gt;TODAY()), "",
    IF((DATEDIF($L6, DATE(Veri2!AL$1, MONTH($L6), DAY($L6)), "y")+$BW6)&lt;1, 0,
        IF(OR(DATEDIF($M6, DATE(Veri2!AL$1, MONTH($L6), DAY($L6)), "y")&gt;=50, DATEDIF($M6, DATE(Veri2!AL$1, MONTH($L6), DAY($L6)), "y")&lt;=18),
            IF((DATEDIF($L6, DATE(Veri2!AL$1, MONTH($L6), DAY($L6)), "y")+$BW6)&gt;=15, 26, 20),
            IF((DATEDIF($L6, DATE(Veri2!AL$1, MONTH($L6), DAY($L6)), "y")+$BW6)&gt;=15, 26,
                IF((DATEDIF($L6, DATE(Veri2!AL$1, MONTH($L6), DAY($L6)), "y")+$BW6)&gt;5, 20, 14))
        )
    )
), "")</f>
        <v/>
      </c>
      <c r="BE6" s="48" t="str">
        <f ca="1">IFERROR(IF(OR($L6=0, $L6="", DATE(Veri2!AM$1, MONTH($L6), DAY($L6))&lt;=$L6, DATE(Veri2!AM$1, MONTH($L6), DAY($L6))&gt;TODAY()), "",
    IF((DATEDIF($L6, DATE(Veri2!AM$1, MONTH($L6), DAY($L6)), "y")+$BW6)&lt;1, 0,
        IF(OR(DATEDIF($M6, DATE(Veri2!AM$1, MONTH($L6), DAY($L6)), "y")&gt;=50, DATEDIF($M6, DATE(Veri2!AM$1, MONTH($L6), DAY($L6)), "y")&lt;=18),
            IF((DATEDIF($L6, DATE(Veri2!AM$1, MONTH($L6), DAY($L6)), "y")+$BW6)&gt;=15, 26, 20),
            IF((DATEDIF($L6, DATE(Veri2!AM$1, MONTH($L6), DAY($L6)), "y")+$BW6)&gt;=15, 26,
                IF((DATEDIF($L6, DATE(Veri2!AM$1, MONTH($L6), DAY($L6)), "y")+$BW6)&gt;5, 20, 14))
        )
    )
), "")</f>
        <v/>
      </c>
      <c r="BF6" s="48" t="str">
        <f ca="1">IFERROR(IF(OR($L6=0, $L6="", DATE(Veri2!AN$1, MONTH($L6), DAY($L6))&lt;=$L6, DATE(Veri2!AN$1, MONTH($L6), DAY($L6))&gt;TODAY()), "",
    IF((DATEDIF($L6, DATE(Veri2!AN$1, MONTH($L6), DAY($L6)), "y")+$BW6)&lt;1, 0,
        IF(OR(DATEDIF($M6, DATE(Veri2!AN$1, MONTH($L6), DAY($L6)), "y")&gt;=50, DATEDIF($M6, DATE(Veri2!AN$1, MONTH($L6), DAY($L6)), "y")&lt;=18),
            IF((DATEDIF($L6, DATE(Veri2!AN$1, MONTH($L6), DAY($L6)), "y")+$BW6)&gt;=15, 26, 20),
            IF((DATEDIF($L6, DATE(Veri2!AN$1, MONTH($L6), DAY($L6)), "y")+$BW6)&gt;=15, 26,
                IF((DATEDIF($L6, DATE(Veri2!AN$1, MONTH($L6), DAY($L6)), "y")+$BW6)&gt;5, 20, 14))
        )
    )
), "")</f>
        <v/>
      </c>
      <c r="BG6" s="48" t="str">
        <f ca="1">IFERROR(IF(OR($L6=0, $L6="", DATE(Veri2!AO$1, MONTH($L6), DAY($L6))&lt;=$L6, DATE(Veri2!AO$1, MONTH($L6), DAY($L6))&gt;TODAY()), "",
    IF((DATEDIF($L6, DATE(Veri2!AO$1, MONTH($L6), DAY($L6)), "y")+$BW6)&lt;1, 0,
        IF(OR(DATEDIF($M6, DATE(Veri2!AO$1, MONTH($L6), DAY($L6)), "y")&gt;=50, DATEDIF($M6, DATE(Veri2!AO$1, MONTH($L6), DAY($L6)), "y")&lt;=18),
            IF((DATEDIF($L6, DATE(Veri2!AO$1, MONTH($L6), DAY($L6)), "y")+$BW6)&gt;=15, 26, 20),
            IF((DATEDIF($L6, DATE(Veri2!AO$1, MONTH($L6), DAY($L6)), "y")+$BW6)&gt;=15, 26,
                IF((DATEDIF($L6, DATE(Veri2!AO$1, MONTH($L6), DAY($L6)), "y")+$BW6)&gt;5, 20, 14))
        )
    )
), "")</f>
        <v/>
      </c>
      <c r="BH6" s="48" t="str">
        <f ca="1">IFERROR(IF(OR($L6=0, $L6="", DATE(Veri2!AP$1, MONTH($L6), DAY($L6))&lt;=$L6, DATE(Veri2!AP$1, MONTH($L6), DAY($L6))&gt;TODAY()), "",
    IF((DATEDIF($L6, DATE(Veri2!AP$1, MONTH($L6), DAY($L6)), "y")+$BW6)&lt;1, 0,
        IF(OR(DATEDIF($M6, DATE(Veri2!AP$1, MONTH($L6), DAY($L6)), "y")&gt;=50, DATEDIF($M6, DATE(Veri2!AP$1, MONTH($L6), DAY($L6)), "y")&lt;=18),
            IF((DATEDIF($L6, DATE(Veri2!AP$1, MONTH($L6), DAY($L6)), "y")+$BW6)&gt;=15, 26, 20),
            IF((DATEDIF($L6, DATE(Veri2!AP$1, MONTH($L6), DAY($L6)), "y")+$BW6)&gt;=15, 26,
                IF((DATEDIF($L6, DATE(Veri2!AP$1, MONTH($L6), DAY($L6)), "y")+$BW6)&gt;5, 20, 14))
        )
    )
), "")</f>
        <v/>
      </c>
      <c r="BI6" s="48" t="str">
        <f ca="1">IFERROR(IF(OR($L6=0, $L6="", DATE(Veri2!AQ$1, MONTH($L6), DAY($L6))&lt;=$L6, DATE(Veri2!AQ$1, MONTH($L6), DAY($L6))&gt;TODAY()), "",
    IF((DATEDIF($L6, DATE(Veri2!AQ$1, MONTH($L6), DAY($L6)), "y")+$BW6)&lt;1, 0,
        IF(OR(DATEDIF($M6, DATE(Veri2!AQ$1, MONTH($L6), DAY($L6)), "y")&gt;=50, DATEDIF($M6, DATE(Veri2!AQ$1, MONTH($L6), DAY($L6)), "y")&lt;=18),
            IF((DATEDIF($L6, DATE(Veri2!AQ$1, MONTH($L6), DAY($L6)), "y")+$BW6)&gt;=15, 26, 20),
            IF((DATEDIF($L6, DATE(Veri2!AQ$1, MONTH($L6), DAY($L6)), "y")+$BW6)&gt;=15, 26,
                IF((DATEDIF($L6, DATE(Veri2!AQ$1, MONTH($L6), DAY($L6)), "y")+$BW6)&gt;5, 20, 14))
        )
    )
), "")</f>
        <v/>
      </c>
      <c r="BJ6" s="48" t="str">
        <f ca="1">IFERROR(IF(OR($L6=0, $L6="", DATE(Veri2!AR$1, MONTH($L6), DAY($L6))&lt;=$L6, DATE(Veri2!AR$1, MONTH($L6), DAY($L6))&gt;TODAY()), "",
    IF((DATEDIF($L6, DATE(Veri2!AR$1, MONTH($L6), DAY($L6)), "y")+$BW6)&lt;1, 0,
        IF(OR(DATEDIF($M6, DATE(Veri2!AR$1, MONTH($L6), DAY($L6)), "y")&gt;=50, DATEDIF($M6, DATE(Veri2!AR$1, MONTH($L6), DAY($L6)), "y")&lt;=18),
            IF((DATEDIF($L6, DATE(Veri2!AR$1, MONTH($L6), DAY($L6)), "y")+$BW6)&gt;=15, 26, 20),
            IF((DATEDIF($L6, DATE(Veri2!AR$1, MONTH($L6), DAY($L6)), "y")+$BW6)&gt;=15, 26,
                IF((DATEDIF($L6, DATE(Veri2!AR$1, MONTH($L6), DAY($L6)), "y")+$BW6)&gt;5, 20, 14))
        )
    )
), "")</f>
        <v/>
      </c>
      <c r="BK6" s="48" t="str">
        <f ca="1">IFERROR(IF(OR($L6=0, $L6="", DATE(Veri2!AS$1, MONTH($L6), DAY($L6))&lt;=$L6, DATE(Veri2!AS$1, MONTH($L6), DAY($L6))&gt;TODAY()), "",
    IF((DATEDIF($L6, DATE(Veri2!AS$1, MONTH($L6), DAY($L6)), "y")+$BW6)&lt;1, 0,
        IF(OR(DATEDIF($M6, DATE(Veri2!AS$1, MONTH($L6), DAY($L6)), "y")&gt;=50, DATEDIF($M6, DATE(Veri2!AS$1, MONTH($L6), DAY($L6)), "y")&lt;=18),
            IF((DATEDIF($L6, DATE(Veri2!AS$1, MONTH($L6), DAY($L6)), "y")+$BW6)&gt;=15, 26, 20),
            IF((DATEDIF($L6, DATE(Veri2!AS$1, MONTH($L6), DAY($L6)), "y")+$BW6)&gt;=15, 26,
                IF((DATEDIF($L6, DATE(Veri2!AS$1, MONTH($L6), DAY($L6)), "y")+$BW6)&gt;5, 20, 14))
        )
    )
), "")</f>
        <v/>
      </c>
      <c r="BL6" s="48" t="str">
        <f ca="1">IFERROR(IF(OR($L6=0, $L6="", DATE(Veri2!AT$1, MONTH($L6), DAY($L6))&lt;=$L6, DATE(Veri2!AT$1, MONTH($L6), DAY($L6))&gt;TODAY()), "",
    IF((DATEDIF($L6, DATE(Veri2!AT$1, MONTH($L6), DAY($L6)), "y")+$BW6)&lt;1, 0,
        IF(OR(DATEDIF($M6, DATE(Veri2!AT$1, MONTH($L6), DAY($L6)), "y")&gt;=50, DATEDIF($M6, DATE(Veri2!AT$1, MONTH($L6), DAY($L6)), "y")&lt;=18),
            IF((DATEDIF($L6, DATE(Veri2!AT$1, MONTH($L6), DAY($L6)), "y")+$BW6)&gt;=15, 26, 20),
            IF((DATEDIF($L6, DATE(Veri2!AT$1, MONTH($L6), DAY($L6)), "y")+$BW6)&gt;=15, 26,
                IF((DATEDIF($L6, DATE(Veri2!AT$1, MONTH($L6), DAY($L6)), "y")+$BW6)&gt;5, 20, 14))
        )
    )
), "")</f>
        <v/>
      </c>
      <c r="BM6" s="48" t="str">
        <f ca="1">IFERROR(IF(OR($L6=0, $L6="", DATE(Veri2!AU$1, MONTH($L6), DAY($L6))&lt;=$L6, DATE(Veri2!AU$1, MONTH($L6), DAY($L6))&gt;TODAY()), "",
    IF((DATEDIF($L6, DATE(Veri2!AU$1, MONTH($L6), DAY($L6)), "y")+$BW6)&lt;1, 0,
        IF(OR(DATEDIF($M6, DATE(Veri2!AU$1, MONTH($L6), DAY($L6)), "y")&gt;=50, DATEDIF($M6, DATE(Veri2!AU$1, MONTH($L6), DAY($L6)), "y")&lt;=18),
            IF((DATEDIF($L6, DATE(Veri2!AU$1, MONTH($L6), DAY($L6)), "y")+$BW6)&gt;=15, 26, 20),
            IF((DATEDIF($L6, DATE(Veri2!AU$1, MONTH($L6), DAY($L6)), "y")+$BW6)&gt;=15, 26,
                IF((DATEDIF($L6, DATE(Veri2!AU$1, MONTH($L6), DAY($L6)), "y")+$BW6)&gt;5, 20, 14))
        )
    )
), "")</f>
        <v/>
      </c>
      <c r="BN6" s="48" t="str">
        <f ca="1">IFERROR(IF(OR($L6=0, $L6="", DATE(Veri2!AV$1, MONTH($L6), DAY($L6))&lt;=$L6, DATE(Veri2!AV$1, MONTH($L6), DAY($L6))&gt;TODAY()), "",
    IF((DATEDIF($L6, DATE(Veri2!AV$1, MONTH($L6), DAY($L6)), "y")+$BW6)&lt;1, 0,
        IF(OR(DATEDIF($M6, DATE(Veri2!AV$1, MONTH($L6), DAY($L6)), "y")&gt;=50, DATEDIF($M6, DATE(Veri2!AV$1, MONTH($L6), DAY($L6)), "y")&lt;=18),
            IF((DATEDIF($L6, DATE(Veri2!AV$1, MONTH($L6), DAY($L6)), "y")+$BW6)&gt;=15, 26, 20),
            IF((DATEDIF($L6, DATE(Veri2!AV$1, MONTH($L6), DAY($L6)), "y")+$BW6)&gt;=15, 26,
                IF((DATEDIF($L6, DATE(Veri2!AV$1, MONTH($L6), DAY($L6)), "y")+$BW6)&gt;5, 20, 14))
        )
    )
), "")</f>
        <v/>
      </c>
      <c r="BO6" s="48" t="str">
        <f ca="1">IFERROR(IF(OR($L6=0, $L6="", DATE(Veri2!AW$1, MONTH($L6), DAY($L6))&lt;=$L6, DATE(Veri2!AW$1, MONTH($L6), DAY($L6))&gt;TODAY()), "",
    IF((DATEDIF($L6, DATE(Veri2!AW$1, MONTH($L6), DAY($L6)), "y")+$BW6)&lt;1, 0,
        IF(OR(DATEDIF($M6, DATE(Veri2!AW$1, MONTH($L6), DAY($L6)), "y")&gt;=50, DATEDIF($M6, DATE(Veri2!AW$1, MONTH($L6), DAY($L6)), "y")&lt;=18),
            IF((DATEDIF($L6, DATE(Veri2!AW$1, MONTH($L6), DAY($L6)), "y")+$BW6)&gt;=15, 26, 20),
            IF((DATEDIF($L6, DATE(Veri2!AW$1, MONTH($L6), DAY($L6)), "y")+$BW6)&gt;=15, 26,
                IF((DATEDIF($L6, DATE(Veri2!AW$1, MONTH($L6), DAY($L6)), "y")+$BW6)&gt;5, 20, 14))
        )
    )
), "")</f>
        <v/>
      </c>
      <c r="BP6" s="48" t="str">
        <f ca="1">IFERROR(IF(OR($L6=0, $L6="", DATE(Veri2!AX$1, MONTH($L6), DAY($L6))&lt;=$L6, DATE(Veri2!AX$1, MONTH($L6), DAY($L6))&gt;TODAY()), "",
    IF((DATEDIF($L6, DATE(Veri2!AX$1, MONTH($L6), DAY($L6)), "y")+$BW6)&lt;1, 0,
        IF(OR(DATEDIF($M6, DATE(Veri2!AX$1, MONTH($L6), DAY($L6)), "y")&gt;=50, DATEDIF($M6, DATE(Veri2!AX$1, MONTH($L6), DAY($L6)), "y")&lt;=18),
            IF((DATEDIF($L6, DATE(Veri2!AX$1, MONTH($L6), DAY($L6)), "y")+$BW6)&gt;=15, 26, 20),
            IF((DATEDIF($L6, DATE(Veri2!AX$1, MONTH($L6), DAY($L6)), "y")+$BW6)&gt;=15, 26,
                IF((DATEDIF($L6, DATE(Veri2!AX$1, MONTH($L6), DAY($L6)), "y")+$BW6)&gt;5, 20, 14))
        )
    )
), "")</f>
        <v/>
      </c>
      <c r="BQ6" s="48" t="str">
        <f ca="1">IFERROR(IF(OR($L6=0, $L6="", DATE(Veri2!AY$1, MONTH($L6), DAY($L6))&lt;=$L6, DATE(Veri2!AY$1, MONTH($L6), DAY($L6))&gt;TODAY()), "",
    IF((DATEDIF($L6, DATE(Veri2!AY$1, MONTH($L6), DAY($L6)), "y")+$BW6)&lt;1, 0,
        IF(OR(DATEDIF($M6, DATE(Veri2!AY$1, MONTH($L6), DAY($L6)), "y")&gt;=50, DATEDIF($M6, DATE(Veri2!AY$1, MONTH($L6), DAY($L6)), "y")&lt;=18),
            IF((DATEDIF($L6, DATE(Veri2!AY$1, MONTH($L6), DAY($L6)), "y")+$BW6)&gt;=15, 26, 20),
            IF((DATEDIF($L6, DATE(Veri2!AY$1, MONTH($L6), DAY($L6)), "y")+$BW6)&gt;=15, 26,
                IF((DATEDIF($L6, DATE(Veri2!AY$1, MONTH($L6), DAY($L6)), "y")+$BW6)&gt;5, 20, 14))
        )
    )
), "")</f>
        <v/>
      </c>
      <c r="BR6" s="48" t="str">
        <f ca="1">IFERROR(IF(OR($L6=0, $L6="", DATE(Veri2!AZ$1, MONTH($L6), DAY($L6))&lt;=$L6, DATE(Veri2!AZ$1, MONTH($L6), DAY($L6))&gt;TODAY()), "",
    IF((DATEDIF($L6, DATE(Veri2!AZ$1, MONTH($L6), DAY($L6)), "y")+$BW6)&lt;1, 0,
        IF(OR(DATEDIF($M6, DATE(Veri2!AZ$1, MONTH($L6), DAY($L6)), "y")&gt;=50, DATEDIF($M6, DATE(Veri2!AZ$1, MONTH($L6), DAY($L6)), "y")&lt;=18),
            IF((DATEDIF($L6, DATE(Veri2!AZ$1, MONTH($L6), DAY($L6)), "y")+$BW6)&gt;=15, 26, 20),
            IF((DATEDIF($L6, DATE(Veri2!AZ$1, MONTH($L6), DAY($L6)), "y")+$BW6)&gt;=15, 26,
                IF((DATEDIF($L6, DATE(Veri2!AZ$1, MONTH($L6), DAY($L6)), "y")+$BW6)&gt;5, 20, 14))
        )
    )
), "")</f>
        <v/>
      </c>
      <c r="BS6" s="48" t="str">
        <f ca="1">IFERROR(IF(OR($L6=0, $L6="", DATE(Veri2!BA$1, MONTH($L6), DAY($L6))&lt;=$L6, DATE(Veri2!BA$1, MONTH($L6), DAY($L6))&gt;TODAY()), "",
    IF((DATEDIF($L6, DATE(Veri2!BA$1, MONTH($L6), DAY($L6)), "y")+$BW6)&lt;1, 0,
        IF(OR(DATEDIF($M6, DATE(Veri2!BA$1, MONTH($L6), DAY($L6)), "y")&gt;=50, DATEDIF($M6, DATE(Veri2!BA$1, MONTH($L6), DAY($L6)), "y")&lt;=18),
            IF((DATEDIF($L6, DATE(Veri2!BA$1, MONTH($L6), DAY($L6)), "y")+$BW6)&gt;=15, 26, 20),
            IF((DATEDIF($L6, DATE(Veri2!BA$1, MONTH($L6), DAY($L6)), "y")+$BW6)&gt;=15, 26,
                IF((DATEDIF($L6, DATE(Veri2!BA$1, MONTH($L6), DAY($L6)), "y")+$BW6)&gt;5, 20, 14))
        )
    )
), "")</f>
        <v/>
      </c>
      <c r="BT6" s="48" t="str">
        <f ca="1">IFERROR(IF(OR($L6=0, $L6="", DATE(Veri2!BB$1, MONTH($L6), DAY($L6))&lt;=$L6, DATE(Veri2!BB$1, MONTH($L6), DAY($L6))&gt;TODAY()), "",
    IF((DATEDIF($L6, DATE(Veri2!BB$1, MONTH($L6), DAY($L6)), "y")+$BW6)&lt;1, 0,
        IF(OR(DATEDIF($M6, DATE(Veri2!BB$1, MONTH($L6), DAY($L6)), "y")&gt;=50, DATEDIF($M6, DATE(Veri2!BB$1, MONTH($L6), DAY($L6)), "y")&lt;=18),
            IF((DATEDIF($L6, DATE(Veri2!BB$1, MONTH($L6), DAY($L6)), "y")+$BW6)&gt;=15, 26, 20),
            IF((DATEDIF($L6, DATE(Veri2!BB$1, MONTH($L6), DAY($L6)), "y")+$BW6)&gt;=15, 26,
                IF((DATEDIF($L6, DATE(Veri2!BB$1, MONTH($L6), DAY($L6)), "y")+$BW6)&gt;5, 20, 14))
        )
    )
), "")</f>
        <v/>
      </c>
      <c r="BU6" s="48" t="str">
        <f ca="1">IFERROR(IF(OR($L6=0, $L6="", DATE(Veri2!BC$1, MONTH($L6), DAY($L6))&lt;=$L6, DATE(Veri2!BC$1, MONTH($L6), DAY($L6))&gt;TODAY()), "",
    IF((DATEDIF($L6, DATE(Veri2!BC$1, MONTH($L6), DAY($L6)), "y")+$BW6)&lt;1, 0,
        IF(OR(DATEDIF($M6, DATE(Veri2!BC$1, MONTH($L6), DAY($L6)), "y")&gt;=50, DATEDIF($M6, DATE(Veri2!BC$1, MONTH($L6), DAY($L6)), "y")&lt;=18),
            IF((DATEDIF($L6, DATE(Veri2!BC$1, MONTH($L6), DAY($L6)), "y")+$BW6)&gt;=15, 26, 20),
            IF((DATEDIF($L6, DATE(Veri2!BC$1, MONTH($L6), DAY($L6)), "y")+$BW6)&gt;=15, 26,
                IF((DATEDIF($L6, DATE(Veri2!BC$1, MONTH($L6), DAY($L6)), "y")+$BW6)&gt;5, 20, 14))
        )
    )
), "")</f>
        <v/>
      </c>
      <c r="BV6" s="48" t="str">
        <f ca="1">IFERROR(IF(OR($L6=0, $L6="", DATE(Veri2!BD$1, MONTH($L6), DAY($L6))&lt;=$L6, DATE(Veri2!BD$1, MONTH($L6), DAY($L6))&gt;TODAY()), "",
    IF((DATEDIF($L6, DATE(Veri2!BD$1, MONTH($L6), DAY($L6)), "y")+$BW6)&lt;1, 0,
        IF(OR(DATEDIF($M6, DATE(Veri2!BD$1, MONTH($L6), DAY($L6)), "y")&gt;=50, DATEDIF($M6, DATE(Veri2!BD$1, MONTH($L6), DAY($L6)), "y")&lt;=18),
            IF((DATEDIF($L6, DATE(Veri2!BD$1, MONTH($L6), DAY($L6)), "y")+$BW6)&gt;=15, 26, 20),
            IF((DATEDIF($L6, DATE(Veri2!BD$1, MONTH($L6), DAY($L6)), "y")+$BW6)&gt;=15, 26,
                IF((DATEDIF($L6, DATE(Veri2!BD$1, MONTH($L6), DAY($L6)), "y")+$BW6)&gt;5, 20, 14))
        )
    )
), "")</f>
        <v/>
      </c>
      <c r="BW6" s="35">
        <v>3</v>
      </c>
    </row>
    <row r="7" spans="7:81" x14ac:dyDescent="0.25">
      <c r="G7" s="38">
        <v>32707748862</v>
      </c>
      <c r="H7" s="118">
        <v>7073</v>
      </c>
      <c r="I7" s="290" t="s">
        <v>230</v>
      </c>
      <c r="J7" s="37">
        <f>Tablo3[[#This Row],[Sicil No]]</f>
        <v>7073</v>
      </c>
      <c r="K7" s="37" t="s">
        <v>203</v>
      </c>
      <c r="L7" s="60">
        <v>45294</v>
      </c>
      <c r="M7" s="60">
        <v>37065</v>
      </c>
      <c r="N7" s="34">
        <f ca="1">IF(Tablo3[[#This Row],[Doğum Tarihi]]="","",YEAR($H$2)-YEAR(Tablo3[[#This Row],[Doğum Tarihi]]))</f>
        <v>25</v>
      </c>
      <c r="O7" s="34">
        <f ca="1">IF(Tablo3[[#This Row],[Doğum Tarihi]]="","",DATEDIF(Tablo3[[#This Row],[İşe Giriş Tarihi]],$H$2,"Y"))</f>
        <v>2</v>
      </c>
      <c r="P7" s="35">
        <f ca="1">SUM(Tablo3[[#This Row],[1995]:[2050]])</f>
        <v>28</v>
      </c>
      <c r="Q7" s="35">
        <f>SUMIF(Tablo25[Sicil No],Tablo3[[#This Row],[Sicil No]],Tablo25[Toplam İzin Günü])</f>
        <v>20</v>
      </c>
      <c r="R7" s="36">
        <f ca="1">Tablo3[[#This Row],[Toplam Hakediş]]-Tablo3[[#This Row],[Kullanılan İzin]]</f>
        <v>8</v>
      </c>
      <c r="S7" s="289" t="str">
        <f ca="1">IF(AND(INT(DATE(Veri2!A$1,MONTH($L7),DAY($L7))-DATE(YEAR($M7),MONTH($M7),DAY($M7)))/365.25&gt;=50,
IF(OR($I7="",$L7="",Veri2!A$1&lt;=YEAR($L7),Veri2!A$1&gt;YEAR(TODAY())),"",IF(AND(Veri2!A$1-YEAR($L7)&gt;=1,YEAR(TODAY())&lt;&gt;Veri2!A$1),
LOOKUP(VALUE("31"&amp;"."&amp;"12"&amp;"."&amp;Veri2!A$1)-$L7,{365,2190,5476},{14,20,26}),
IF(AND(YEAR(TODAY())=Veri2!A$1,TODAY()-VALUE(DAY($L7)&amp;"."&amp;MONTH($L7)&amp;"."&amp;YEAR(TODAY())-1)&gt;=365),
LOOKUP(VALUE(DAY(TODAY())&amp;"."&amp;MONTH(TODAY())&amp;"."&amp;Veri2!A$1)-$L7,{0,365,2190,5476},{0,14,20,26}),
IF(AND(YEAR(TODAY())=Veri2!A$1,TODAY()-VALUE(DAY($L7)&amp;"."&amp;MONTH($L7)&amp;"."&amp;YEAR(TODAY())-1)&lt;365),""))))=14),
IF(OR($I7="",$L7="",Veri2!A$1&lt;=YEAR($L7),Veri2!A$1&gt;YEAR(TODAY())),"",IF(AND(Veri2!A$1-YEAR($L7)&gt;=1,YEAR(TODAY())&lt;&gt;Veri2!A$1),
LOOKUP(VALUE("31"&amp;"."&amp;"12"&amp;"."&amp;Veri2!A$1)-$L7,{365,2190,5476},{20,20,26}),
IF(AND(YEAR(TODAY())=Veri2!A$1,TODAY()-VALUE(DAY($L7)&amp;"."&amp;MONTH($L7)&amp;"."&amp;YEAR(TODAY())-1)&gt;=365),
LOOKUP(VALUE(DAY(TODAY())&amp;"."&amp;MONTH(TODAY())&amp;"."&amp;Veri2!A$1)-$L7,{0,365,2190,5476},{0,20,20,26}),
IF(AND(YEAR(TODAY())=Veri2!A$1,TODAY()-VALUE(DAY($L7)&amp;"."&amp;MONTH($L7)&amp;"."&amp;YEAR(TODAY())-1)&lt;365),"")))),
IF(OR($I7="",$L7="",Veri2!A$1&lt;=YEAR($L7),Veri2!A$1&gt;YEAR(TODAY())),"",IF(AND(Veri2!A$1-YEAR($L7)&gt;=1,YEAR(TODAY())&lt;&gt;Veri2!A$1),
LOOKUP(VALUE("31"&amp;"."&amp;"12"&amp;"."&amp;Veri2!A$1)-$L7,{365,2190,5476},{14,20,26}),
IF(AND(YEAR(TODAY())=Veri2!A$1,TODAY()-VALUE(DAY($L7)&amp;"."&amp;MONTH($L7)&amp;"."&amp;YEAR(TODAY())-1)&gt;=365),
LOOKUP(VALUE(DAY(TODAY())&amp;"."&amp;MONTH(TODAY())&amp;"."&amp;Veri2!A$1)-$L7,{0,365,2190,5476},{0,14,20,26}),
IF(AND(YEAR(TODAY())=Veri2!A$1,TODAY()-VALUE(DAY($L7)&amp;"."&amp;MONTH($L7)&amp;"."&amp;YEAR(TODAY())-1)&lt;365),"")))))</f>
        <v/>
      </c>
      <c r="T7" s="1" t="str">
        <f ca="1">IF(AND(INT(DATE(Veri2!B$1,MONTH($L7),DAY($L7))-DATE(YEAR($M7),MONTH($M7),DAY($M7)))/365.25&gt;=50,
IF(OR($I7="",$L7="",Veri2!B$1&lt;=YEAR($L7),Veri2!B$1&gt;YEAR(TODAY())),"",IF(AND(Veri2!B$1-YEAR($L7)&gt;=1,YEAR(TODAY())&lt;&gt;Veri2!B$1),
LOOKUP(VALUE("31"&amp;"."&amp;"12"&amp;"."&amp;Veri2!B$1)-$L7,{365,2190,5476},{14,20,26}),
IF(AND(YEAR(TODAY())=Veri2!B$1,TODAY()-VALUE(DAY($L7)&amp;"."&amp;MONTH($L7)&amp;"."&amp;YEAR(TODAY())-1)&gt;=365),
LOOKUP(VALUE(DAY(TODAY())&amp;"."&amp;MONTH(TODAY())&amp;"."&amp;Veri2!B$1)-$L7,{0,365,2190,5476},{0,14,20,26}),
IF(AND(YEAR(TODAY())=Veri2!B$1,TODAY()-VALUE(DAY($L7)&amp;"."&amp;MONTH($L7)&amp;"."&amp;YEAR(TODAY())-1)&lt;365),""))))=14),
IF(OR($I7="",$L7="",Veri2!B$1&lt;=YEAR($L7),Veri2!B$1&gt;YEAR(TODAY())),"",IF(AND(Veri2!B$1-YEAR($L7)&gt;=1,YEAR(TODAY())&lt;&gt;Veri2!B$1),
LOOKUP(VALUE("31"&amp;"."&amp;"12"&amp;"."&amp;Veri2!B$1)-$L7,{365,2190,5476},{20,20,26}),
IF(AND(YEAR(TODAY())=Veri2!B$1,TODAY()-VALUE(DAY($L7)&amp;"."&amp;MONTH($L7)&amp;"."&amp;YEAR(TODAY())-1)&gt;=365),
LOOKUP(VALUE(DAY(TODAY())&amp;"."&amp;MONTH(TODAY())&amp;"."&amp;Veri2!B$1)-$L7,{0,365,2190,5476},{0,20,20,26}),
IF(AND(YEAR(TODAY())=Veri2!B$1,TODAY()-VALUE(DAY($L7)&amp;"."&amp;MONTH($L7)&amp;"."&amp;YEAR(TODAY())-1)&lt;365),"")))),
IF(OR($I7="",$L7="",Veri2!B$1&lt;=YEAR($L7),Veri2!B$1&gt;YEAR(TODAY())),"",IF(AND(Veri2!B$1-YEAR($L7)&gt;=1,YEAR(TODAY())&lt;&gt;Veri2!B$1),
LOOKUP(VALUE("31"&amp;"."&amp;"12"&amp;"."&amp;Veri2!B$1)-$L7,{365,2190,5476},{14,20,26}),
IF(AND(YEAR(TODAY())=Veri2!B$1,TODAY()-VALUE(DAY($L7)&amp;"."&amp;MONTH($L7)&amp;"."&amp;YEAR(TODAY())-1)&gt;=365),
LOOKUP(VALUE(DAY(TODAY())&amp;"."&amp;MONTH(TODAY())&amp;"."&amp;Veri2!B$1)-$L7,{0,365,2190,5476},{0,14,20,26}),
IF(AND(YEAR(TODAY())=Veri2!B$1,TODAY()-VALUE(DAY($L7)&amp;"."&amp;MONTH($L7)&amp;"."&amp;YEAR(TODAY())-1)&lt;365),"")))))</f>
        <v/>
      </c>
      <c r="U7" s="1" t="str">
        <f ca="1">IF(AND(INT(DATE(Veri2!C$1,MONTH($L7),DAY($L7))-DATE(YEAR($M7),MONTH($M7),DAY($M7)))/365.25&gt;=50,
IF(OR($I7="",$L7="",Veri2!C$1&lt;=YEAR($L7),Veri2!C$1&gt;YEAR(TODAY())),"",IF(AND(Veri2!C$1-YEAR($L7)&gt;=1,YEAR(TODAY())&lt;&gt;Veri2!C$1),
LOOKUP(VALUE("31"&amp;"."&amp;"12"&amp;"."&amp;Veri2!C$1)-$L7,{365,2190,5476},{14,20,26}),
IF(AND(YEAR(TODAY())=Veri2!C$1,TODAY()-VALUE(DAY($L7)&amp;"."&amp;MONTH($L7)&amp;"."&amp;YEAR(TODAY())-1)&gt;=365),
LOOKUP(VALUE(DAY(TODAY())&amp;"."&amp;MONTH(TODAY())&amp;"."&amp;Veri2!C$1)-$L7,{0,365,2190,5476},{0,14,20,26}),
IF(AND(YEAR(TODAY())=Veri2!C$1,TODAY()-VALUE(DAY($L7)&amp;"."&amp;MONTH($L7)&amp;"."&amp;YEAR(TODAY())-1)&lt;365),""))))=14),
IF(OR($I7="",$L7="",Veri2!C$1&lt;=YEAR($L7),Veri2!C$1&gt;YEAR(TODAY())),"",IF(AND(Veri2!C$1-YEAR($L7)&gt;=1,YEAR(TODAY())&lt;&gt;Veri2!C$1),
LOOKUP(VALUE("31"&amp;"."&amp;"12"&amp;"."&amp;Veri2!C$1)-$L7,{365,2190,5476},{20,20,26}),
IF(AND(YEAR(TODAY())=Veri2!C$1,TODAY()-VALUE(DAY($L7)&amp;"."&amp;MONTH($L7)&amp;"."&amp;YEAR(TODAY())-1)&gt;=365),
LOOKUP(VALUE(DAY(TODAY())&amp;"."&amp;MONTH(TODAY())&amp;"."&amp;Veri2!C$1)-$L7,{0,365,2190,5476},{0,20,20,26}),
IF(AND(YEAR(TODAY())=Veri2!C$1,TODAY()-VALUE(DAY($L7)&amp;"."&amp;MONTH($L7)&amp;"."&amp;YEAR(TODAY())-1)&lt;365),"")))),
IF(OR($I7="",$L7="",Veri2!C$1&lt;=YEAR($L7),Veri2!C$1&gt;YEAR(TODAY())),"",IF(AND(Veri2!C$1-YEAR($L7)&gt;=1,YEAR(TODAY())&lt;&gt;Veri2!C$1),
LOOKUP(VALUE("31"&amp;"."&amp;"12"&amp;"."&amp;Veri2!C$1)-$L7,{365,2190,5476},{14,20,26}),
IF(AND(YEAR(TODAY())=Veri2!C$1,TODAY()-VALUE(DAY($L7)&amp;"."&amp;MONTH($L7)&amp;"."&amp;YEAR(TODAY())-1)&gt;=365),
LOOKUP(VALUE(DAY(TODAY())&amp;"."&amp;MONTH(TODAY())&amp;"."&amp;Veri2!C$1)-$L7,{0,365,2190,5476},{0,14,20,26}),
IF(AND(YEAR(TODAY())=Veri2!C$1,TODAY()-VALUE(DAY($L7)&amp;"."&amp;MONTH($L7)&amp;"."&amp;YEAR(TODAY())-1)&lt;365),"")))))</f>
        <v/>
      </c>
      <c r="V7" s="1" t="str">
        <f ca="1">IF(AND(INT(DATE(Veri2!D$1,MONTH($L7),DAY($L7))-DATE(YEAR($M7),MONTH($M7),DAY($M7)))/365.25&gt;=50,
IF(OR($I7="",$L7="",Veri2!D$1&lt;=YEAR($L7),Veri2!D$1&gt;YEAR(TODAY())),"",IF(AND(Veri2!D$1-YEAR($L7)&gt;=1,YEAR(TODAY())&lt;&gt;Veri2!D$1),
LOOKUP(VALUE("31"&amp;"."&amp;"12"&amp;"."&amp;Veri2!D$1)-$L7,{365,2190,5476},{14,20,26}),
IF(AND(YEAR(TODAY())=Veri2!D$1,TODAY()-VALUE(DAY($L7)&amp;"."&amp;MONTH($L7)&amp;"."&amp;YEAR(TODAY())-1)&gt;=365),
LOOKUP(VALUE(DAY(TODAY())&amp;"."&amp;MONTH(TODAY())&amp;"."&amp;Veri2!D$1)-$L7,{0,365,2190,5476},{0,14,20,26}),
IF(AND(YEAR(TODAY())=Veri2!D$1,TODAY()-VALUE(DAY($L7)&amp;"."&amp;MONTH($L7)&amp;"."&amp;YEAR(TODAY())-1)&lt;365),""))))=14),
IF(OR($I7="",$L7="",Veri2!D$1&lt;=YEAR($L7),Veri2!D$1&gt;YEAR(TODAY())),"",IF(AND(Veri2!D$1-YEAR($L7)&gt;=1,YEAR(TODAY())&lt;&gt;Veri2!D$1),
LOOKUP(VALUE("31"&amp;"."&amp;"12"&amp;"."&amp;Veri2!D$1)-$L7,{365,2190,5476},{20,20,26}),
IF(AND(YEAR(TODAY())=Veri2!D$1,TODAY()-VALUE(DAY($L7)&amp;"."&amp;MONTH($L7)&amp;"."&amp;YEAR(TODAY())-1)&gt;=365),
LOOKUP(VALUE(DAY(TODAY())&amp;"."&amp;MONTH(TODAY())&amp;"."&amp;Veri2!D$1)-$L7,{0,365,2190,5476},{0,20,20,26}),
IF(AND(YEAR(TODAY())=Veri2!D$1,TODAY()-VALUE(DAY($L7)&amp;"."&amp;MONTH($L7)&amp;"."&amp;YEAR(TODAY())-1)&lt;365),"")))),
IF(OR($I7="",$L7="",Veri2!D$1&lt;=YEAR($L7),Veri2!D$1&gt;YEAR(TODAY())),"",IF(AND(Veri2!D$1-YEAR($L7)&gt;=1,YEAR(TODAY())&lt;&gt;Veri2!D$1),
LOOKUP(VALUE("31"&amp;"."&amp;"12"&amp;"."&amp;Veri2!D$1)-$L7,{365,2190,5476},{14,20,26}),
IF(AND(YEAR(TODAY())=Veri2!D$1,TODAY()-VALUE(DAY($L7)&amp;"."&amp;MONTH($L7)&amp;"."&amp;YEAR(TODAY())-1)&gt;=365),
LOOKUP(VALUE(DAY(TODAY())&amp;"."&amp;MONTH(TODAY())&amp;"."&amp;Veri2!D$1)-$L7,{0,365,2190,5476},{0,14,20,26}),
IF(AND(YEAR(TODAY())=Veri2!D$1,TODAY()-VALUE(DAY($L7)&amp;"."&amp;MONTH($L7)&amp;"."&amp;YEAR(TODAY())-1)&lt;365),"")))))</f>
        <v/>
      </c>
      <c r="W7" s="1" t="str">
        <f ca="1">IF(AND(INT(DATE(Veri2!E$1,MONTH($L7),DAY($L7))-DATE(YEAR($M7),MONTH($M7),DAY($M7)))/365.25&gt;=50,
IF(OR($I7="",$L7="",Veri2!E$1&lt;=YEAR($L7),Veri2!E$1&gt;YEAR(TODAY())),"",IF(AND(Veri2!E$1-YEAR($L7)&gt;=1,YEAR(TODAY())&lt;&gt;Veri2!E$1),
LOOKUP(VALUE("31"&amp;"."&amp;"12"&amp;"."&amp;Veri2!E$1)-$L7,{365,2190,5476},{14,20,26}),
IF(AND(YEAR(TODAY())=Veri2!E$1,TODAY()-VALUE(DAY($L7)&amp;"."&amp;MONTH($L7)&amp;"."&amp;YEAR(TODAY())-1)&gt;=365),
LOOKUP(VALUE(DAY(TODAY())&amp;"."&amp;MONTH(TODAY())&amp;"."&amp;Veri2!E$1)-$L7,{0,365,2190,5476},{0,14,20,26}),
IF(AND(YEAR(TODAY())=Veri2!E$1,TODAY()-VALUE(DAY($L7)&amp;"."&amp;MONTH($L7)&amp;"."&amp;YEAR(TODAY())-1)&lt;365),""))))=14),
IF(OR($I7="",$L7="",Veri2!E$1&lt;=YEAR($L7),Veri2!E$1&gt;YEAR(TODAY())),"",IF(AND(Veri2!E$1-YEAR($L7)&gt;=1,YEAR(TODAY())&lt;&gt;Veri2!E$1),
LOOKUP(VALUE("31"&amp;"."&amp;"12"&amp;"."&amp;Veri2!E$1)-$L7,{365,2190,5476},{20,20,26}),
IF(AND(YEAR(TODAY())=Veri2!E$1,TODAY()-VALUE(DAY($L7)&amp;"."&amp;MONTH($L7)&amp;"."&amp;YEAR(TODAY())-1)&gt;=365),
LOOKUP(VALUE(DAY(TODAY())&amp;"."&amp;MONTH(TODAY())&amp;"."&amp;Veri2!E$1)-$L7,{0,365,2190,5476},{0,20,20,26}),
IF(AND(YEAR(TODAY())=Veri2!E$1,TODAY()-VALUE(DAY($L7)&amp;"."&amp;MONTH($L7)&amp;"."&amp;YEAR(TODAY())-1)&lt;365),"")))),
IF(OR($I7="",$L7="",Veri2!E$1&lt;=YEAR($L7),Veri2!E$1&gt;YEAR(TODAY())),"",IF(AND(Veri2!E$1-YEAR($L7)&gt;=1,YEAR(TODAY())&lt;&gt;Veri2!E$1),
LOOKUP(VALUE("31"&amp;"."&amp;"12"&amp;"."&amp;Veri2!E$1)-$L7,{365,2190,5476},{14,20,26}),
IF(AND(YEAR(TODAY())=Veri2!E$1,TODAY()-VALUE(DAY($L7)&amp;"."&amp;MONTH($L7)&amp;"."&amp;YEAR(TODAY())-1)&gt;=365),
LOOKUP(VALUE(DAY(TODAY())&amp;"."&amp;MONTH(TODAY())&amp;"."&amp;Veri2!E$1)-$L7,{0,365,2190,5476},{0,14,20,26}),
IF(AND(YEAR(TODAY())=Veri2!E$1,TODAY()-VALUE(DAY($L7)&amp;"."&amp;MONTH($L7)&amp;"."&amp;YEAR(TODAY())-1)&lt;365),"")))))</f>
        <v/>
      </c>
      <c r="X7" s="1" t="str">
        <f ca="1">IF(AND(INT(DATE(Veri2!F$1,MONTH($L7),DAY($L7))-DATE(YEAR($M7),MONTH($M7),DAY($M7)))/365.25&gt;=50,
IF(OR($I7="",$L7="",Veri2!F$1&lt;=YEAR($L7),Veri2!F$1&gt;YEAR(TODAY())),"",IF(AND(Veri2!F$1-YEAR($L7)&gt;=1,YEAR(TODAY())&lt;&gt;Veri2!F$1),
LOOKUP(VALUE("31"&amp;"."&amp;"12"&amp;"."&amp;Veri2!F$1)-$L7,{365,2190,5476},{14,20,26}),
IF(AND(YEAR(TODAY())=Veri2!F$1,TODAY()-VALUE(DAY($L7)&amp;"."&amp;MONTH($L7)&amp;"."&amp;YEAR(TODAY())-1)&gt;=365),
LOOKUP(VALUE(DAY(TODAY())&amp;"."&amp;MONTH(TODAY())&amp;"."&amp;Veri2!F$1)-$L7,{0,365,2190,5476},{0,14,20,26}),
IF(AND(YEAR(TODAY())=Veri2!F$1,TODAY()-VALUE(DAY($L7)&amp;"."&amp;MONTH($L7)&amp;"."&amp;YEAR(TODAY())-1)&lt;365),""))))=14),
IF(OR($I7="",$L7="",Veri2!F$1&lt;=YEAR($L7),Veri2!F$1&gt;YEAR(TODAY())),"",IF(AND(Veri2!F$1-YEAR($L7)&gt;=1,YEAR(TODAY())&lt;&gt;Veri2!F$1),
LOOKUP(VALUE("31"&amp;"."&amp;"12"&amp;"."&amp;Veri2!F$1)-$L7,{365,2190,5476},{20,20,26}),
IF(AND(YEAR(TODAY())=Veri2!F$1,TODAY()-VALUE(DAY($L7)&amp;"."&amp;MONTH($L7)&amp;"."&amp;YEAR(TODAY())-1)&gt;=365),
LOOKUP(VALUE(DAY(TODAY())&amp;"."&amp;MONTH(TODAY())&amp;"."&amp;Veri2!F$1)-$L7,{0,365,2190,5476},{0,20,20,26}),
IF(AND(YEAR(TODAY())=Veri2!F$1,TODAY()-VALUE(DAY($L7)&amp;"."&amp;MONTH($L7)&amp;"."&amp;YEAR(TODAY())-1)&lt;365),"")))),
IF(OR($I7="",$L7="",Veri2!F$1&lt;=YEAR($L7),Veri2!F$1&gt;YEAR(TODAY())),"",IF(AND(Veri2!F$1-YEAR($L7)&gt;=1,YEAR(TODAY())&lt;&gt;Veri2!F$1),
LOOKUP(VALUE("31"&amp;"."&amp;"12"&amp;"."&amp;Veri2!F$1)-$L7,{365,2190,5476},{14,20,26}),
IF(AND(YEAR(TODAY())=Veri2!F$1,TODAY()-VALUE(DAY($L7)&amp;"."&amp;MONTH($L7)&amp;"."&amp;YEAR(TODAY())-1)&gt;=365),
LOOKUP(VALUE(DAY(TODAY())&amp;"."&amp;MONTH(TODAY())&amp;"."&amp;Veri2!F$1)-$L7,{0,365,2190,5476},{0,14,20,26}),
IF(AND(YEAR(TODAY())=Veri2!F$1,TODAY()-VALUE(DAY($L7)&amp;"."&amp;MONTH($L7)&amp;"."&amp;YEAR(TODAY())-1)&lt;365),"")))))</f>
        <v/>
      </c>
      <c r="Y7" s="1" t="str">
        <f ca="1">IF(AND(INT(DATE(Veri2!G$1,MONTH($L7),DAY($L7))-DATE(YEAR($M7),MONTH($M7),DAY($M7)))/365.25&gt;=50,
IF(OR($I7="",$L7="",Veri2!G$1&lt;=YEAR($L7),Veri2!G$1&gt;YEAR(TODAY())),"",IF(AND(Veri2!G$1-YEAR($L7)&gt;=1,YEAR(TODAY())&lt;&gt;Veri2!G$1),
LOOKUP(VALUE("31"&amp;"."&amp;"12"&amp;"."&amp;Veri2!G$1)-$L7,{365,2190,5476},{14,20,26}),
IF(AND(YEAR(TODAY())=Veri2!G$1,TODAY()-VALUE(DAY($L7)&amp;"."&amp;MONTH($L7)&amp;"."&amp;YEAR(TODAY())-1)&gt;=365),
LOOKUP(VALUE(DAY(TODAY())&amp;"."&amp;MONTH(TODAY())&amp;"."&amp;Veri2!G$1)-$L7,{0,365,2190,5476},{0,14,20,26}),
IF(AND(YEAR(TODAY())=Veri2!G$1,TODAY()-VALUE(DAY($L7)&amp;"."&amp;MONTH($L7)&amp;"."&amp;YEAR(TODAY())-1)&lt;365),""))))=14),
IF(OR($I7="",$L7="",Veri2!G$1&lt;=YEAR($L7),Veri2!G$1&gt;YEAR(TODAY())),"",IF(AND(Veri2!G$1-YEAR($L7)&gt;=1,YEAR(TODAY())&lt;&gt;Veri2!G$1),
LOOKUP(VALUE("31"&amp;"."&amp;"12"&amp;"."&amp;Veri2!G$1)-$L7,{365,2190,5476},{20,20,26}),
IF(AND(YEAR(TODAY())=Veri2!G$1,TODAY()-VALUE(DAY($L7)&amp;"."&amp;MONTH($L7)&amp;"."&amp;YEAR(TODAY())-1)&gt;=365),
LOOKUP(VALUE(DAY(TODAY())&amp;"."&amp;MONTH(TODAY())&amp;"."&amp;Veri2!G$1)-$L7,{0,365,2190,5476},{0,20,20,26}),
IF(AND(YEAR(TODAY())=Veri2!G$1,TODAY()-VALUE(DAY($L7)&amp;"."&amp;MONTH($L7)&amp;"."&amp;YEAR(TODAY())-1)&lt;365),"")))),
IF(OR($I7="",$L7="",Veri2!G$1&lt;=YEAR($L7),Veri2!G$1&gt;YEAR(TODAY())),"",IF(AND(Veri2!G$1-YEAR($L7)&gt;=1,YEAR(TODAY())&lt;&gt;Veri2!G$1),
LOOKUP(VALUE("31"&amp;"."&amp;"12"&amp;"."&amp;Veri2!G$1)-$L7,{365,2190,5476},{14,20,26}),
IF(AND(YEAR(TODAY())=Veri2!G$1,TODAY()-VALUE(DAY($L7)&amp;"."&amp;MONTH($L7)&amp;"."&amp;YEAR(TODAY())-1)&gt;=365),
LOOKUP(VALUE(DAY(TODAY())&amp;"."&amp;MONTH(TODAY())&amp;"."&amp;Veri2!G$1)-$L7,{0,365,2190,5476},{0,14,20,26}),
IF(AND(YEAR(TODAY())=Veri2!G$1,TODAY()-VALUE(DAY($L7)&amp;"."&amp;MONTH($L7)&amp;"."&amp;YEAR(TODAY())-1)&lt;365),"")))))</f>
        <v/>
      </c>
      <c r="Z7" s="1" t="str">
        <f ca="1">IF(AND(INT(DATE(Veri2!H$1,MONTH($L7),DAY($L7))-DATE(YEAR($M7),MONTH($M7),DAY($M7)))/365.25&gt;=50,
IF(OR($I7="",$L7="",Veri2!H$1&lt;=YEAR($L7),Veri2!H$1&gt;YEAR(TODAY())),"",IF(AND(Veri2!H$1-YEAR($L7)&gt;=1,YEAR(TODAY())&lt;&gt;Veri2!H$1),
LOOKUP(VALUE("31"&amp;"."&amp;"12"&amp;"."&amp;Veri2!H$1)-$L7,{365,2190,5476},{14,20,26}),
IF(AND(YEAR(TODAY())=Veri2!H$1,TODAY()-VALUE(DAY($L7)&amp;"."&amp;MONTH($L7)&amp;"."&amp;YEAR(TODAY())-1)&gt;=365),
LOOKUP(VALUE(DAY(TODAY())&amp;"."&amp;MONTH(TODAY())&amp;"."&amp;Veri2!H$1)-$L7,{0,365,2190,5476},{0,14,20,26}),
IF(AND(YEAR(TODAY())=Veri2!H$1,TODAY()-VALUE(DAY($L7)&amp;"."&amp;MONTH($L7)&amp;"."&amp;YEAR(TODAY())-1)&lt;365),""))))=14),
IF(OR($I7="",$L7="",Veri2!H$1&lt;=YEAR($L7),Veri2!H$1&gt;YEAR(TODAY())),"",IF(AND(Veri2!H$1-YEAR($L7)&gt;=1,YEAR(TODAY())&lt;&gt;Veri2!H$1),
LOOKUP(VALUE("31"&amp;"."&amp;"12"&amp;"."&amp;Veri2!H$1)-$L7,{365,2190,5476},{20,20,26}),
IF(AND(YEAR(TODAY())=Veri2!H$1,TODAY()-VALUE(DAY($L7)&amp;"."&amp;MONTH($L7)&amp;"."&amp;YEAR(TODAY())-1)&gt;=365),
LOOKUP(VALUE(DAY(TODAY())&amp;"."&amp;MONTH(TODAY())&amp;"."&amp;Veri2!H$1)-$L7,{0,365,2190,5476},{0,20,20,26}),
IF(AND(YEAR(TODAY())=Veri2!H$1,TODAY()-VALUE(DAY($L7)&amp;"."&amp;MONTH($L7)&amp;"."&amp;YEAR(TODAY())-1)&lt;365),"")))),
IF(OR($I7="",$L7="",Veri2!H$1&lt;=YEAR($L7),Veri2!H$1&gt;YEAR(TODAY())),"",IF(AND(Veri2!H$1-YEAR($L7)&gt;=1,YEAR(TODAY())&lt;&gt;Veri2!H$1),
LOOKUP(VALUE("31"&amp;"."&amp;"12"&amp;"."&amp;Veri2!H$1)-$L7,{365,2190,5476},{14,20,26}),
IF(AND(YEAR(TODAY())=Veri2!H$1,TODAY()-VALUE(DAY($L7)&amp;"."&amp;MONTH($L7)&amp;"."&amp;YEAR(TODAY())-1)&gt;=365),
LOOKUP(VALUE(DAY(TODAY())&amp;"."&amp;MONTH(TODAY())&amp;"."&amp;Veri2!H$1)-$L7,{0,365,2190,5476},{0,14,20,26}),
IF(AND(YEAR(TODAY())=Veri2!H$1,TODAY()-VALUE(DAY($L7)&amp;"."&amp;MONTH($L7)&amp;"."&amp;YEAR(TODAY())-1)&lt;365),"")))))</f>
        <v/>
      </c>
      <c r="AA7" s="1" t="str">
        <f ca="1">IF(AND(INT(DATE(Veri2!I$1,MONTH($L7),DAY($L7))-DATE(YEAR($M7),MONTH($M7),DAY($M7)))/365.25&gt;=50,
IF(OR($I7="",$L7="",Veri2!I$1&lt;=YEAR($L7),Veri2!I$1&gt;YEAR(TODAY())),"",IF(AND(Veri2!I$1-YEAR($L7)&gt;=1,YEAR(TODAY())&lt;&gt;Veri2!I$1),
LOOKUP(VALUE("31"&amp;"."&amp;"12"&amp;"."&amp;Veri2!I$1)-$L7,{365,2190,5476},{14,20,26}),
IF(AND(YEAR(TODAY())=Veri2!I$1,TODAY()-VALUE(DAY($L7)&amp;"."&amp;MONTH($L7)&amp;"."&amp;YEAR(TODAY())-1)&gt;=365),
LOOKUP(VALUE(DAY(TODAY())&amp;"."&amp;MONTH(TODAY())&amp;"."&amp;Veri2!I$1)-$L7,{0,365,2190,5476},{0,14,20,26}),
IF(AND(YEAR(TODAY())=Veri2!I$1,TODAY()-VALUE(DAY($L7)&amp;"."&amp;MONTH($L7)&amp;"."&amp;YEAR(TODAY())-1)&lt;365),""))))=14),
IF(OR($I7="",$L7="",Veri2!I$1&lt;=YEAR($L7),Veri2!I$1&gt;YEAR(TODAY())),"",IF(AND(Veri2!I$1-YEAR($L7)&gt;=1,YEAR(TODAY())&lt;&gt;Veri2!I$1),
LOOKUP(VALUE("31"&amp;"."&amp;"12"&amp;"."&amp;Veri2!I$1)-$L7,{365,2190,5476},{20,20,26}),
IF(AND(YEAR(TODAY())=Veri2!I$1,TODAY()-VALUE(DAY($L7)&amp;"."&amp;MONTH($L7)&amp;"."&amp;YEAR(TODAY())-1)&gt;=365),
LOOKUP(VALUE(DAY(TODAY())&amp;"."&amp;MONTH(TODAY())&amp;"."&amp;Veri2!I$1)-$L7,{0,365,2190,5476},{0,20,20,26}),
IF(AND(YEAR(TODAY())=Veri2!I$1,TODAY()-VALUE(DAY($L7)&amp;"."&amp;MONTH($L7)&amp;"."&amp;YEAR(TODAY())-1)&lt;365),"")))),
IF(OR($I7="",$L7="",Veri2!I$1&lt;=YEAR($L7),Veri2!I$1&gt;YEAR(TODAY())),"",IF(AND(Veri2!I$1-YEAR($L7)&gt;=1,YEAR(TODAY())&lt;&gt;Veri2!I$1),
LOOKUP(VALUE("31"&amp;"."&amp;"12"&amp;"."&amp;Veri2!I$1)-$L7,{365,2190,5476},{14,20,26}),
IF(AND(YEAR(TODAY())=Veri2!I$1,TODAY()-VALUE(DAY($L7)&amp;"."&amp;MONTH($L7)&amp;"."&amp;YEAR(TODAY())-1)&gt;=365),
LOOKUP(VALUE(DAY(TODAY())&amp;"."&amp;MONTH(TODAY())&amp;"."&amp;Veri2!I$1)-$L7,{0,365,2190,5476},{0,14,20,26}),
IF(AND(YEAR(TODAY())=Veri2!I$1,TODAY()-VALUE(DAY($L7)&amp;"."&amp;MONTH($L7)&amp;"."&amp;YEAR(TODAY())-1)&lt;365),"")))))</f>
        <v/>
      </c>
      <c r="AB7" s="48" t="str">
        <f ca="1">IF(AND(INT(DATE(Veri2!J$1,MONTH($L7),DAY($L7))-DATE(YEAR($M7),MONTH($M7),DAY($M7)))/365.25&gt;=50,
IF(OR($I7="",$L7="",Veri2!J$1&lt;=YEAR($L7),Veri2!J$1&gt;YEAR(TODAY())),"",IF(AND(Veri2!J$1-YEAR($L7)&gt;=1,YEAR(TODAY())&lt;&gt;Veri2!J$1),
LOOKUP(VALUE("31"&amp;"."&amp;"12"&amp;"."&amp;Veri2!J$1)-$L7,{365,2190,5476},{14,20,26}),
IF(AND(YEAR(TODAY())=Veri2!J$1,TODAY()-VALUE(DAY($L7)&amp;"."&amp;MONTH($L7)&amp;"."&amp;YEAR(TODAY())-1)&gt;=365),
LOOKUP(VALUE(DAY(TODAY())&amp;"."&amp;MONTH(TODAY())&amp;"."&amp;Veri2!J$1)-$L7,{0,365,2190,5476},{0,14,20,26}),
IF(AND(YEAR(TODAY())=Veri2!J$1,TODAY()-VALUE(DAY($L7)&amp;"."&amp;MONTH($L7)&amp;"."&amp;YEAR(TODAY())-1)&lt;365),""))))=14),
IF(OR($I7="",$L7="",Veri2!J$1&lt;=YEAR($L7),Veri2!J$1&gt;YEAR(TODAY())),"",IF(AND(Veri2!J$1-YEAR($L7)&gt;=1,YEAR(TODAY())&lt;&gt;Veri2!J$1),
LOOKUP(VALUE("31"&amp;"."&amp;"12"&amp;"."&amp;Veri2!J$1)-$L7,{365,2190,5476},{20,20,26}),
IF(AND(YEAR(TODAY())=Veri2!J$1,TODAY()-VALUE(DAY($L7)&amp;"."&amp;MONTH($L7)&amp;"."&amp;YEAR(TODAY())-1)&gt;=365),
LOOKUP(VALUE(DAY(TODAY())&amp;"."&amp;MONTH(TODAY())&amp;"."&amp;Veri2!J$1)-$L7,{0,365,2190,5476},{0,20,20,26}),
IF(AND(YEAR(TODAY())=Veri2!J$1,TODAY()-VALUE(DAY($L7)&amp;"."&amp;MONTH($L7)&amp;"."&amp;YEAR(TODAY())-1)&lt;365),"")))),
IF(OR($I7="",$L7="",Veri2!J$1&lt;=YEAR($L7),Veri2!J$1&gt;YEAR(TODAY())),"",IF(AND(Veri2!J$1-YEAR($L7)&gt;=1,YEAR(TODAY())&lt;&gt;Veri2!J$1),
LOOKUP(VALUE("31"&amp;"."&amp;"12"&amp;"."&amp;Veri2!J$1)-$L7,{365,2190,5476},{14,20,26}),
IF(AND(YEAR(TODAY())=Veri2!J$1,TODAY()-VALUE(DAY($L7)&amp;"."&amp;MONTH($L7)&amp;"."&amp;YEAR(TODAY())-1)&gt;=365),
LOOKUP(VALUE(DAY(TODAY())&amp;"."&amp;MONTH(TODAY())&amp;"."&amp;Veri2!J$1)-$L7,{0,365,2190,5476},{0,14,20,26}),
IF(AND(YEAR(TODAY())=Veri2!J$1,TODAY()-VALUE(DAY($L7)&amp;"."&amp;MONTH($L7)&amp;"."&amp;YEAR(TODAY())-1)&lt;365),"")))))</f>
        <v/>
      </c>
      <c r="AC7" s="48" t="str">
        <f ca="1">IF(AND(INT(DATE(Veri2!K$1,MONTH($L7),DAY($L7))-DATE(YEAR($M7),MONTH($M7),DAY($M7)))/365.25&gt;=50,
IF(OR($I7="",$L7="",Veri2!K$1&lt;=YEAR($L7),Veri2!K$1&gt;YEAR(TODAY())),"",IF(AND(Veri2!K$1-YEAR($L7)&gt;=1,YEAR(TODAY())&lt;&gt;Veri2!K$1),
LOOKUP(VALUE("31"&amp;"."&amp;"12"&amp;"."&amp;Veri2!K$1)-$L7,{365,2190,5476},{14,20,26}),
IF(AND(YEAR(TODAY())=Veri2!K$1,TODAY()-VALUE(DAY($L7)&amp;"."&amp;MONTH($L7)&amp;"."&amp;YEAR(TODAY())-1)&gt;=365),
LOOKUP(VALUE(DAY(TODAY())&amp;"."&amp;MONTH(TODAY())&amp;"."&amp;Veri2!K$1)-$L7,{0,365,2190,5476},{0,14,20,26}),
IF(AND(YEAR(TODAY())=Veri2!K$1,TODAY()-VALUE(DAY($L7)&amp;"."&amp;MONTH($L7)&amp;"."&amp;YEAR(TODAY())-1)&lt;365),""))))=14),
IF(OR($I7="",$L7="",Veri2!K$1&lt;=YEAR($L7),Veri2!K$1&gt;YEAR(TODAY())),"",IF(AND(Veri2!K$1-YEAR($L7)&gt;=1,YEAR(TODAY())&lt;&gt;Veri2!K$1),
LOOKUP(VALUE("31"&amp;"."&amp;"12"&amp;"."&amp;Veri2!K$1)-$L7,{365,2190,5476},{20,20,26}),
IF(AND(YEAR(TODAY())=Veri2!K$1,TODAY()-VALUE(DAY($L7)&amp;"."&amp;MONTH($L7)&amp;"."&amp;YEAR(TODAY())-1)&gt;=365),
LOOKUP(VALUE(DAY(TODAY())&amp;"."&amp;MONTH(TODAY())&amp;"."&amp;Veri2!K$1)-$L7,{0,365,2190,5476},{0,20,20,26}),
IF(AND(YEAR(TODAY())=Veri2!K$1,TODAY()-VALUE(DAY($L7)&amp;"."&amp;MONTH($L7)&amp;"."&amp;YEAR(TODAY())-1)&lt;365),"")))),
IF(OR($I7="",$L7="",Veri2!K$1&lt;=YEAR($L7),Veri2!K$1&gt;YEAR(TODAY())),"",IF(AND(Veri2!K$1-YEAR($L7)&gt;=1,YEAR(TODAY())&lt;&gt;Veri2!K$1),
LOOKUP(VALUE("31"&amp;"."&amp;"12"&amp;"."&amp;Veri2!K$1)-$L7,{365,2190,5476},{14,20,26}),
IF(AND(YEAR(TODAY())=Veri2!K$1,TODAY()-VALUE(DAY($L7)&amp;"."&amp;MONTH($L7)&amp;"."&amp;YEAR(TODAY())-1)&gt;=365),
LOOKUP(VALUE(DAY(TODAY())&amp;"."&amp;MONTH(TODAY())&amp;"."&amp;Veri2!K$1)-$L7,{0,365,2190,5476},{0,14,20,26}),
IF(AND(YEAR(TODAY())=Veri2!K$1,TODAY()-VALUE(DAY($L7)&amp;"."&amp;MONTH($L7)&amp;"."&amp;YEAR(TODAY())-1)&lt;365),"")))))</f>
        <v/>
      </c>
      <c r="AD7" s="48" t="str">
        <f ca="1">IF(AND(INT(DATE(Veri2!L$1,MONTH($L7),DAY($L7))-DATE(YEAR($M7),MONTH($M7),DAY($M7)))/365.25&gt;=50,
IF(OR($I7="",$L7="",Veri2!L$1&lt;=YEAR($L7),Veri2!L$1&gt;YEAR(TODAY())),"",IF(AND(Veri2!L$1-YEAR($L7)&gt;=1,YEAR(TODAY())&lt;&gt;Veri2!L$1),
LOOKUP(VALUE("31"&amp;"."&amp;"12"&amp;"."&amp;Veri2!L$1)-$L7,{365,2190,5476},{14,20,26}),
IF(AND(YEAR(TODAY())=Veri2!L$1,TODAY()-VALUE(DAY($L7)&amp;"."&amp;MONTH($L7)&amp;"."&amp;YEAR(TODAY())-1)&gt;=365),
LOOKUP(VALUE(DAY(TODAY())&amp;"."&amp;MONTH(TODAY())&amp;"."&amp;Veri2!L$1)-$L7,{0,365,2190,5476},{0,14,20,26}),
IF(AND(YEAR(TODAY())=Veri2!L$1,TODAY()-VALUE(DAY($L7)&amp;"."&amp;MONTH($L7)&amp;"."&amp;YEAR(TODAY())-1)&lt;365),""))))=14),
IF(OR($I7="",$L7="",Veri2!L$1&lt;=YEAR($L7),Veri2!L$1&gt;YEAR(TODAY())),"",IF(AND(Veri2!L$1-YEAR($L7)&gt;=1,YEAR(TODAY())&lt;&gt;Veri2!L$1),
LOOKUP(VALUE("31"&amp;"."&amp;"12"&amp;"."&amp;Veri2!L$1)-$L7,{365,2190,5476},{20,20,26}),
IF(AND(YEAR(TODAY())=Veri2!L$1,TODAY()-VALUE(DAY($L7)&amp;"."&amp;MONTH($L7)&amp;"."&amp;YEAR(TODAY())-1)&gt;=365),
LOOKUP(VALUE(DAY(TODAY())&amp;"."&amp;MONTH(TODAY())&amp;"."&amp;Veri2!L$1)-$L7,{0,365,2190,5476},{0,20,20,26}),
IF(AND(YEAR(TODAY())=Veri2!L$1,TODAY()-VALUE(DAY($L7)&amp;"."&amp;MONTH($L7)&amp;"."&amp;YEAR(TODAY())-1)&lt;365),"")))),
IF(OR($I7="",$L7="",Veri2!L$1&lt;=YEAR($L7),Veri2!L$1&gt;YEAR(TODAY())),"",IF(AND(Veri2!L$1-YEAR($L7)&gt;=1,YEAR(TODAY())&lt;&gt;Veri2!L$1),
LOOKUP(VALUE("31"&amp;"."&amp;"12"&amp;"."&amp;Veri2!L$1)-$L7,{365,2190,5476},{14,20,26}),
IF(AND(YEAR(TODAY())=Veri2!L$1,TODAY()-VALUE(DAY($L7)&amp;"."&amp;MONTH($L7)&amp;"."&amp;YEAR(TODAY())-1)&gt;=365),
LOOKUP(VALUE(DAY(TODAY())&amp;"."&amp;MONTH(TODAY())&amp;"."&amp;Veri2!L$1)-$L7,{0,365,2190,5476},{0,14,20,26}),
IF(AND(YEAR(TODAY())=Veri2!L$1,TODAY()-VALUE(DAY($L7)&amp;"."&amp;MONTH($L7)&amp;"."&amp;YEAR(TODAY())-1)&lt;365),"")))))</f>
        <v/>
      </c>
      <c r="AE7" s="48" t="str">
        <f ca="1">IF(AND(INT(DATE(Veri2!M$1,MONTH($L7),DAY($L7))-DATE(YEAR($M7),MONTH($M7),DAY($M7)))/365.25&gt;=50,
IF(OR($I7="",$L7="",Veri2!M$1&lt;=YEAR($L7),Veri2!M$1&gt;YEAR(TODAY())),"",IF(AND(Veri2!M$1-YEAR($L7)&gt;=1,YEAR(TODAY())&lt;&gt;Veri2!M$1),
LOOKUP(VALUE("31"&amp;"."&amp;"12"&amp;"."&amp;Veri2!M$1)-$L7,{365,2190,5476},{14,20,26}),
IF(AND(YEAR(TODAY())=Veri2!M$1,TODAY()-VALUE(DAY($L7)&amp;"."&amp;MONTH($L7)&amp;"."&amp;YEAR(TODAY())-1)&gt;=365),
LOOKUP(VALUE(DAY(TODAY())&amp;"."&amp;MONTH(TODAY())&amp;"."&amp;Veri2!M$1)-$L7,{0,365,2190,5476},{0,14,20,26}),
IF(AND(YEAR(TODAY())=Veri2!M$1,TODAY()-VALUE(DAY($L7)&amp;"."&amp;MONTH($L7)&amp;"."&amp;YEAR(TODAY())-1)&lt;365),""))))=14),
IF(OR($I7="",$L7="",Veri2!M$1&lt;=YEAR($L7),Veri2!M$1&gt;YEAR(TODAY())),"",IF(AND(Veri2!M$1-YEAR($L7)&gt;=1,YEAR(TODAY())&lt;&gt;Veri2!M$1),
LOOKUP(VALUE("31"&amp;"."&amp;"12"&amp;"."&amp;Veri2!M$1)-$L7,{365,2190,5476},{20,20,26}),
IF(AND(YEAR(TODAY())=Veri2!M$1,TODAY()-VALUE(DAY($L7)&amp;"."&amp;MONTH($L7)&amp;"."&amp;YEAR(TODAY())-1)&gt;=365),
LOOKUP(VALUE(DAY(TODAY())&amp;"."&amp;MONTH(TODAY())&amp;"."&amp;Veri2!M$1)-$L7,{0,365,2190,5476},{0,20,20,26}),
IF(AND(YEAR(TODAY())=Veri2!M$1,TODAY()-VALUE(DAY($L7)&amp;"."&amp;MONTH($L7)&amp;"."&amp;YEAR(TODAY())-1)&lt;365),"")))),
IF(OR($I7="",$L7="",Veri2!M$1&lt;=YEAR($L7),Veri2!M$1&gt;YEAR(TODAY())),"",IF(AND(Veri2!M$1-YEAR($L7)&gt;=1,YEAR(TODAY())&lt;&gt;Veri2!M$1),
LOOKUP(VALUE("31"&amp;"."&amp;"12"&amp;"."&amp;Veri2!M$1)-$L7,{365,2190,5476},{14,20,26}),
IF(AND(YEAR(TODAY())=Veri2!M$1,TODAY()-VALUE(DAY($L7)&amp;"."&amp;MONTH($L7)&amp;"."&amp;YEAR(TODAY())-1)&gt;=365),
LOOKUP(VALUE(DAY(TODAY())&amp;"."&amp;MONTH(TODAY())&amp;"."&amp;Veri2!M$1)-$L7,{0,365,2190,5476},{0,14,20,26}),
IF(AND(YEAR(TODAY())=Veri2!M$1,TODAY()-VALUE(DAY($L7)&amp;"."&amp;MONTH($L7)&amp;"."&amp;YEAR(TODAY())-1)&lt;365),"")))))</f>
        <v/>
      </c>
      <c r="AF7" s="48" t="str">
        <f ca="1">IF(AND(INT(DATE(Veri2!N$1,MONTH($L7),DAY($L7))-DATE(YEAR($M7),MONTH($M7),DAY($M7)))/365.25&gt;=50,
IF(OR($I7="",$L7="",Veri2!N$1&lt;=YEAR($L7),Veri2!N$1&gt;YEAR(TODAY())),"",IF(AND(Veri2!N$1-YEAR($L7)&gt;=1,YEAR(TODAY())&lt;&gt;Veri2!N$1),
LOOKUP(VALUE("31"&amp;"."&amp;"12"&amp;"."&amp;Veri2!N$1)-$L7,{365,2190,5476},{14,20,26}),
IF(AND(YEAR(TODAY())=Veri2!N$1,TODAY()-VALUE(DAY($L7)&amp;"."&amp;MONTH($L7)&amp;"."&amp;YEAR(TODAY())-1)&gt;=365),
LOOKUP(VALUE(DAY(TODAY())&amp;"."&amp;MONTH(TODAY())&amp;"."&amp;Veri2!N$1)-$L7,{0,365,2190,5476},{0,14,20,26}),
IF(AND(YEAR(TODAY())=Veri2!N$1,TODAY()-VALUE(DAY($L7)&amp;"."&amp;MONTH($L7)&amp;"."&amp;YEAR(TODAY())-1)&lt;365),""))))=14),
IF(OR($I7="",$L7="",Veri2!N$1&lt;=YEAR($L7),Veri2!N$1&gt;YEAR(TODAY())),"",IF(AND(Veri2!N$1-YEAR($L7)&gt;=1,YEAR(TODAY())&lt;&gt;Veri2!N$1),
LOOKUP(VALUE("31"&amp;"."&amp;"12"&amp;"."&amp;Veri2!N$1)-$L7,{365,2190,5476},{20,20,26}),
IF(AND(YEAR(TODAY())=Veri2!N$1,TODAY()-VALUE(DAY($L7)&amp;"."&amp;MONTH($L7)&amp;"."&amp;YEAR(TODAY())-1)&gt;=365),
LOOKUP(VALUE(DAY(TODAY())&amp;"."&amp;MONTH(TODAY())&amp;"."&amp;Veri2!N$1)-$L7,{0,365,2190,5476},{0,20,20,26}),
IF(AND(YEAR(TODAY())=Veri2!N$1,TODAY()-VALUE(DAY($L7)&amp;"."&amp;MONTH($L7)&amp;"."&amp;YEAR(TODAY())-1)&lt;365),"")))),
IF(OR($I7="",$L7="",Veri2!N$1&lt;=YEAR($L7),Veri2!N$1&gt;YEAR(TODAY())),"",IF(AND(Veri2!N$1-YEAR($L7)&gt;=1,YEAR(TODAY())&lt;&gt;Veri2!N$1),
LOOKUP(VALUE("31"&amp;"."&amp;"12"&amp;"."&amp;Veri2!N$1)-$L7,{365,2190,5476},{14,20,26}),
IF(AND(YEAR(TODAY())=Veri2!N$1,TODAY()-VALUE(DAY($L7)&amp;"."&amp;MONTH($L7)&amp;"."&amp;YEAR(TODAY())-1)&gt;=365),
LOOKUP(VALUE(DAY(TODAY())&amp;"."&amp;MONTH(TODAY())&amp;"."&amp;Veri2!N$1)-$L7,{0,365,2190,5476},{0,14,20,26}),
IF(AND(YEAR(TODAY())=Veri2!N$1,TODAY()-VALUE(DAY($L7)&amp;"."&amp;MONTH($L7)&amp;"."&amp;YEAR(TODAY())-1)&lt;365),"")))))</f>
        <v/>
      </c>
      <c r="AG7" s="48" t="str">
        <f ca="1">IF(AND(INT(DATE(Veri2!O$1,MONTH($L7),DAY($L7))-DATE(YEAR($M7),MONTH($M7),DAY($M7)))/365.25&gt;=50,
IF(OR($I7="",$L7="",Veri2!O$1&lt;=YEAR($L7),Veri2!O$1&gt;YEAR(TODAY())),"",IF(AND(Veri2!O$1-YEAR($L7)&gt;=1,YEAR(TODAY())&lt;&gt;Veri2!O$1),
LOOKUP(VALUE("31"&amp;"."&amp;"12"&amp;"."&amp;Veri2!O$1)-$L7,{365,2190,5476},{14,20,26}),
IF(AND(YEAR(TODAY())=Veri2!O$1,TODAY()-VALUE(DAY($L7)&amp;"."&amp;MONTH($L7)&amp;"."&amp;YEAR(TODAY())-1)&gt;=365),
LOOKUP(VALUE(DAY(TODAY())&amp;"."&amp;MONTH(TODAY())&amp;"."&amp;Veri2!O$1)-$L7,{0,365,2190,5476},{0,14,20,26}),
IF(AND(YEAR(TODAY())=Veri2!O$1,TODAY()-VALUE(DAY($L7)&amp;"."&amp;MONTH($L7)&amp;"."&amp;YEAR(TODAY())-1)&lt;365),""))))=14),
IF(OR($I7="",$L7="",Veri2!O$1&lt;=YEAR($L7),Veri2!O$1&gt;YEAR(TODAY())),"",IF(AND(Veri2!O$1-YEAR($L7)&gt;=1,YEAR(TODAY())&lt;&gt;Veri2!O$1),
LOOKUP(VALUE("31"&amp;"."&amp;"12"&amp;"."&amp;Veri2!O$1)-$L7,{365,2190,5476},{20,20,26}),
IF(AND(YEAR(TODAY())=Veri2!O$1,TODAY()-VALUE(DAY($L7)&amp;"."&amp;MONTH($L7)&amp;"."&amp;YEAR(TODAY())-1)&gt;=365),
LOOKUP(VALUE(DAY(TODAY())&amp;"."&amp;MONTH(TODAY())&amp;"."&amp;Veri2!O$1)-$L7,{0,365,2190,5476},{0,20,20,26}),
IF(AND(YEAR(TODAY())=Veri2!O$1,TODAY()-VALUE(DAY($L7)&amp;"."&amp;MONTH($L7)&amp;"."&amp;YEAR(TODAY())-1)&lt;365),"")))),
IF(OR($I7="",$L7="",Veri2!O$1&lt;=YEAR($L7),Veri2!O$1&gt;YEAR(TODAY())),"",IF(AND(Veri2!O$1-YEAR($L7)&gt;=1,YEAR(TODAY())&lt;&gt;Veri2!O$1),
LOOKUP(VALUE("31"&amp;"."&amp;"12"&amp;"."&amp;Veri2!O$1)-$L7,{365,2190,5476},{14,20,26}),
IF(AND(YEAR(TODAY())=Veri2!O$1,TODAY()-VALUE(DAY($L7)&amp;"."&amp;MONTH($L7)&amp;"."&amp;YEAR(TODAY())-1)&gt;=365),
LOOKUP(VALUE(DAY(TODAY())&amp;"."&amp;MONTH(TODAY())&amp;"."&amp;Veri2!O$1)-$L7,{0,365,2190,5476},{0,14,20,26}),
IF(AND(YEAR(TODAY())=Veri2!O$1,TODAY()-VALUE(DAY($L7)&amp;"."&amp;MONTH($L7)&amp;"."&amp;YEAR(TODAY())-1)&lt;365),"")))))</f>
        <v/>
      </c>
      <c r="AH7" s="48" t="str">
        <f ca="1">IF(AND(INT(DATE(Veri2!P$1,MONTH($L7),DAY($L7))-DATE(YEAR($M7),MONTH($M7),DAY($M7)))/365.25&gt;=50,
IF(OR($I7="",$L7="",Veri2!P$1&lt;=YEAR($L7),Veri2!P$1&gt;YEAR(TODAY())),"",IF(AND(Veri2!P$1-YEAR($L7)&gt;=1,YEAR(TODAY())&lt;&gt;Veri2!P$1),
LOOKUP(VALUE("31"&amp;"."&amp;"12"&amp;"."&amp;Veri2!P$1)-$L7,{365,2190,5476},{14,20,26}),
IF(AND(YEAR(TODAY())=Veri2!P$1,TODAY()-VALUE(DAY($L7)&amp;"."&amp;MONTH($L7)&amp;"."&amp;YEAR(TODAY())-1)&gt;=365),
LOOKUP(VALUE(DAY(TODAY())&amp;"."&amp;MONTH(TODAY())&amp;"."&amp;Veri2!P$1)-$L7,{0,365,2190,5476},{0,14,20,26}),
IF(AND(YEAR(TODAY())=Veri2!P$1,TODAY()-VALUE(DAY($L7)&amp;"."&amp;MONTH($L7)&amp;"."&amp;YEAR(TODAY())-1)&lt;365),""))))=14),
IF(OR($I7="",$L7="",Veri2!P$1&lt;=YEAR($L7),Veri2!P$1&gt;YEAR(TODAY())),"",IF(AND(Veri2!P$1-YEAR($L7)&gt;=1,YEAR(TODAY())&lt;&gt;Veri2!P$1),
LOOKUP(VALUE("31"&amp;"."&amp;"12"&amp;"."&amp;Veri2!P$1)-$L7,{365,2190,5476},{20,20,26}),
IF(AND(YEAR(TODAY())=Veri2!P$1,TODAY()-VALUE(DAY($L7)&amp;"."&amp;MONTH($L7)&amp;"."&amp;YEAR(TODAY())-1)&gt;=365),
LOOKUP(VALUE(DAY(TODAY())&amp;"."&amp;MONTH(TODAY())&amp;"."&amp;Veri2!P$1)-$L7,{0,365,2190,5476},{0,20,20,26}),
IF(AND(YEAR(TODAY())=Veri2!P$1,TODAY()-VALUE(DAY($L7)&amp;"."&amp;MONTH($L7)&amp;"."&amp;YEAR(TODAY())-1)&lt;365),"")))),
IF(OR($I7="",$L7="",Veri2!P$1&lt;=YEAR($L7),Veri2!P$1&gt;YEAR(TODAY())),"",IF(AND(Veri2!P$1-YEAR($L7)&gt;=1,YEAR(TODAY())&lt;&gt;Veri2!P$1),
LOOKUP(VALUE("31"&amp;"."&amp;"12"&amp;"."&amp;Veri2!P$1)-$L7,{365,2190,5476},{14,20,26}),
IF(AND(YEAR(TODAY())=Veri2!P$1,TODAY()-VALUE(DAY($L7)&amp;"."&amp;MONTH($L7)&amp;"."&amp;YEAR(TODAY())-1)&gt;=365),
LOOKUP(VALUE(DAY(TODAY())&amp;"."&amp;MONTH(TODAY())&amp;"."&amp;Veri2!P$1)-$L7,{0,365,2190,5476},{0,14,20,26}),
IF(AND(YEAR(TODAY())=Veri2!P$1,TODAY()-VALUE(DAY($L7)&amp;"."&amp;MONTH($L7)&amp;"."&amp;YEAR(TODAY())-1)&lt;365),"")))))</f>
        <v/>
      </c>
      <c r="AI7" s="48" t="str">
        <f ca="1">IF(AND(INT(DATE(Veri2!Q$1,MONTH($L7),DAY($L7))-DATE(YEAR($M7),MONTH($M7),DAY($M7)))/365.25&gt;=50,
IF(OR($I7="",$L7="",Veri2!Q$1&lt;=YEAR($L7),Veri2!Q$1&gt;YEAR(TODAY())),"",IF(AND(Veri2!Q$1-YEAR($L7)&gt;=1,YEAR(TODAY())&lt;&gt;Veri2!Q$1),
LOOKUP(VALUE("31"&amp;"."&amp;"12"&amp;"."&amp;Veri2!Q$1)-$L7,{365,2190,5476},{14,20,26}),
IF(AND(YEAR(TODAY())=Veri2!Q$1,TODAY()-VALUE(DAY($L7)&amp;"."&amp;MONTH($L7)&amp;"."&amp;YEAR(TODAY())-1)&gt;=365),
LOOKUP(VALUE(DAY(TODAY())&amp;"."&amp;MONTH(TODAY())&amp;"."&amp;Veri2!Q$1)-$L7,{0,365,2190,5476},{0,14,20,26}),
IF(AND(YEAR(TODAY())=Veri2!Q$1,TODAY()-VALUE(DAY($L7)&amp;"."&amp;MONTH($L7)&amp;"."&amp;YEAR(TODAY())-1)&lt;365),""))))=14),
IF(OR($I7="",$L7="",Veri2!Q$1&lt;=YEAR($L7),Veri2!Q$1&gt;YEAR(TODAY())),"",IF(AND(Veri2!Q$1-YEAR($L7)&gt;=1,YEAR(TODAY())&lt;&gt;Veri2!Q$1),
LOOKUP(VALUE("31"&amp;"."&amp;"12"&amp;"."&amp;Veri2!Q$1)-$L7,{365,2190,5476},{20,20,26}),
IF(AND(YEAR(TODAY())=Veri2!Q$1,TODAY()-VALUE(DAY($L7)&amp;"."&amp;MONTH($L7)&amp;"."&amp;YEAR(TODAY())-1)&gt;=365),
LOOKUP(VALUE(DAY(TODAY())&amp;"."&amp;MONTH(TODAY())&amp;"."&amp;Veri2!Q$1)-$L7,{0,365,2190,5476},{0,20,20,26}),
IF(AND(YEAR(TODAY())=Veri2!Q$1,TODAY()-VALUE(DAY($L7)&amp;"."&amp;MONTH($L7)&amp;"."&amp;YEAR(TODAY())-1)&lt;365),"")))),
IF(OR($I7="",$L7="",Veri2!Q$1&lt;=YEAR($L7),Veri2!Q$1&gt;YEAR(TODAY())),"",IF(AND(Veri2!Q$1-YEAR($L7)&gt;=1,YEAR(TODAY())&lt;&gt;Veri2!Q$1),
LOOKUP(VALUE("31"&amp;"."&amp;"12"&amp;"."&amp;Veri2!Q$1)-$L7,{365,2190,5476},{14,20,26}),
IF(AND(YEAR(TODAY())=Veri2!Q$1,TODAY()-VALUE(DAY($L7)&amp;"."&amp;MONTH($L7)&amp;"."&amp;YEAR(TODAY())-1)&gt;=365),
LOOKUP(VALUE(DAY(TODAY())&amp;"."&amp;MONTH(TODAY())&amp;"."&amp;Veri2!Q$1)-$L7,{0,365,2190,5476},{0,14,20,26}),
IF(AND(YEAR(TODAY())=Veri2!Q$1,TODAY()-VALUE(DAY($L7)&amp;"."&amp;MONTH($L7)&amp;"."&amp;YEAR(TODAY())-1)&lt;365),"")))))</f>
        <v/>
      </c>
      <c r="AJ7" s="48" t="str">
        <f ca="1">IF(AND(INT(DATE(Veri2!R$1,MONTH($L7),DAY($L7))-DATE(YEAR($M7),MONTH($M7),DAY($M7)))/365.25&gt;=50,
IF(OR($I7="",$L7="",Veri2!R$1&lt;=YEAR($L7),Veri2!R$1&gt;YEAR(TODAY())),"",IF(AND(Veri2!R$1-YEAR($L7)&gt;=1,YEAR(TODAY())&lt;&gt;Veri2!R$1),
LOOKUP(VALUE("31"&amp;"."&amp;"12"&amp;"."&amp;Veri2!R$1)-$L7,{365,2190,5476},{14,20,26}),
IF(AND(YEAR(TODAY())=Veri2!R$1,TODAY()-VALUE(DAY($L7)&amp;"."&amp;MONTH($L7)&amp;"."&amp;YEAR(TODAY())-1)&gt;=365),
LOOKUP(VALUE(DAY(TODAY())&amp;"."&amp;MONTH(TODAY())&amp;"."&amp;Veri2!R$1)-$L7,{0,365,2190,5476},{0,14,20,26}),
IF(AND(YEAR(TODAY())=Veri2!R$1,TODAY()-VALUE(DAY($L7)&amp;"."&amp;MONTH($L7)&amp;"."&amp;YEAR(TODAY())-1)&lt;365),""))))=14),
IF(OR($I7="",$L7="",Veri2!R$1&lt;=YEAR($L7),Veri2!R$1&gt;YEAR(TODAY())),"",IF(AND(Veri2!R$1-YEAR($L7)&gt;=1,YEAR(TODAY())&lt;&gt;Veri2!R$1),
LOOKUP(VALUE("31"&amp;"."&amp;"12"&amp;"."&amp;Veri2!R$1)-$L7,{365,2190,5476},{20,20,26}),
IF(AND(YEAR(TODAY())=Veri2!R$1,TODAY()-VALUE(DAY($L7)&amp;"."&amp;MONTH($L7)&amp;"."&amp;YEAR(TODAY())-1)&gt;=365),
LOOKUP(VALUE(DAY(TODAY())&amp;"."&amp;MONTH(TODAY())&amp;"."&amp;Veri2!R$1)-$L7,{0,365,2190,5476},{0,20,20,26}),
IF(AND(YEAR(TODAY())=Veri2!R$1,TODAY()-VALUE(DAY($L7)&amp;"."&amp;MONTH($L7)&amp;"."&amp;YEAR(TODAY())-1)&lt;365),"")))),
IF(OR($I7="",$L7="",Veri2!R$1&lt;=YEAR($L7),Veri2!R$1&gt;YEAR(TODAY())),"",IF(AND(Veri2!R$1-YEAR($L7)&gt;=1,YEAR(TODAY())&lt;&gt;Veri2!R$1),
LOOKUP(VALUE("31"&amp;"."&amp;"12"&amp;"."&amp;Veri2!R$1)-$L7,{365,2190,5476},{14,20,26}),
IF(AND(YEAR(TODAY())=Veri2!R$1,TODAY()-VALUE(DAY($L7)&amp;"."&amp;MONTH($L7)&amp;"."&amp;YEAR(TODAY())-1)&gt;=365),
LOOKUP(VALUE(DAY(TODAY())&amp;"."&amp;MONTH(TODAY())&amp;"."&amp;Veri2!R$1)-$L7,{0,365,2190,5476},{0,14,20,26}),
IF(AND(YEAR(TODAY())=Veri2!R$1,TODAY()-VALUE(DAY($L7)&amp;"."&amp;MONTH($L7)&amp;"."&amp;YEAR(TODAY())-1)&lt;365),"")))))</f>
        <v/>
      </c>
      <c r="AK7" s="48" t="str">
        <f ca="1">IF(AND(INT(DATE(Veri2!S$1,MONTH($L7),DAY($L7))-DATE(YEAR($M7),MONTH($M7),DAY($M7)))/365.25&gt;=50,
IF(OR($I7="",$L7="",Veri2!S$1&lt;=YEAR($L7),Veri2!S$1&gt;YEAR(TODAY())),"",IF(AND(Veri2!S$1-YEAR($L7)&gt;=1,YEAR(TODAY())&lt;&gt;Veri2!S$1),
LOOKUP(VALUE("31"&amp;"."&amp;"12"&amp;"."&amp;Veri2!S$1)-$L7,{365,2190,5476},{14,20,26}),
IF(AND(YEAR(TODAY())=Veri2!S$1,TODAY()-VALUE(DAY($L7)&amp;"."&amp;MONTH($L7)&amp;"."&amp;YEAR(TODAY())-1)&gt;=365),
LOOKUP(VALUE(DAY(TODAY())&amp;"."&amp;MONTH(TODAY())&amp;"."&amp;Veri2!S$1)-$L7,{0,365,2190,5476},{0,14,20,26}),
IF(AND(YEAR(TODAY())=Veri2!S$1,TODAY()-VALUE(DAY($L7)&amp;"."&amp;MONTH($L7)&amp;"."&amp;YEAR(TODAY())-1)&lt;365),""))))=14),
IF(OR($I7="",$L7="",Veri2!S$1&lt;=YEAR($L7),Veri2!S$1&gt;YEAR(TODAY())),"",IF(AND(Veri2!S$1-YEAR($L7)&gt;=1,YEAR(TODAY())&lt;&gt;Veri2!S$1),
LOOKUP(VALUE("31"&amp;"."&amp;"12"&amp;"."&amp;Veri2!S$1)-$L7,{365,2190,5476},{20,20,26}),
IF(AND(YEAR(TODAY())=Veri2!S$1,TODAY()-VALUE(DAY($L7)&amp;"."&amp;MONTH($L7)&amp;"."&amp;YEAR(TODAY())-1)&gt;=365),
LOOKUP(VALUE(DAY(TODAY())&amp;"."&amp;MONTH(TODAY())&amp;"."&amp;Veri2!S$1)-$L7,{0,365,2190,5476},{0,20,20,26}),
IF(AND(YEAR(TODAY())=Veri2!S$1,TODAY()-VALUE(DAY($L7)&amp;"."&amp;MONTH($L7)&amp;"."&amp;YEAR(TODAY())-1)&lt;365),"")))),
IF(OR($I7="",$L7="",Veri2!S$1&lt;=YEAR($L7),Veri2!S$1&gt;YEAR(TODAY())),"",IF(AND(Veri2!S$1-YEAR($L7)&gt;=1,YEAR(TODAY())&lt;&gt;Veri2!S$1),
LOOKUP(VALUE("31"&amp;"."&amp;"12"&amp;"."&amp;Veri2!S$1)-$L7,{365,2190,5476},{14,20,26}),
IF(AND(YEAR(TODAY())=Veri2!S$1,TODAY()-VALUE(DAY($L7)&amp;"."&amp;MONTH($L7)&amp;"."&amp;YEAR(TODAY())-1)&gt;=365),
LOOKUP(VALUE(DAY(TODAY())&amp;"."&amp;MONTH(TODAY())&amp;"."&amp;Veri2!S$1)-$L7,{0,365,2190,5476},{0,14,20,26}),
IF(AND(YEAR(TODAY())=Veri2!S$1,TODAY()-VALUE(DAY($L7)&amp;"."&amp;MONTH($L7)&amp;"."&amp;YEAR(TODAY())-1)&lt;365),"")))))</f>
        <v/>
      </c>
      <c r="AL7" s="48" t="str">
        <f ca="1">IF(AND(INT(DATE(Veri2!T$1,MONTH($L7),DAY($L7))-DATE(YEAR($M7),MONTH($M7),DAY($M7)))/365.25&gt;=50,
IF(OR($I7="",$L7="",Veri2!T$1&lt;=YEAR($L7),Veri2!T$1&gt;YEAR(TODAY())),"",IF(AND(Veri2!T$1-YEAR($L7)&gt;=1,YEAR(TODAY())&lt;&gt;Veri2!T$1),
LOOKUP(VALUE("31"&amp;"."&amp;"12"&amp;"."&amp;Veri2!T$1)-$L7,{365,2190,5476},{14,20,26}),
IF(AND(YEAR(TODAY())=Veri2!T$1,TODAY()-VALUE(DAY($L7)&amp;"."&amp;MONTH($L7)&amp;"."&amp;YEAR(TODAY())-1)&gt;=365),
LOOKUP(VALUE(DAY(TODAY())&amp;"."&amp;MONTH(TODAY())&amp;"."&amp;Veri2!T$1)-$L7,{0,365,2190,5476},{0,14,20,26}),
IF(AND(YEAR(TODAY())=Veri2!T$1,TODAY()-VALUE(DAY($L7)&amp;"."&amp;MONTH($L7)&amp;"."&amp;YEAR(TODAY())-1)&lt;365),""))))=14),
IF(OR($I7="",$L7="",Veri2!T$1&lt;=YEAR($L7),Veri2!T$1&gt;YEAR(TODAY())),"",IF(AND(Veri2!T$1-YEAR($L7)&gt;=1,YEAR(TODAY())&lt;&gt;Veri2!T$1),
LOOKUP(VALUE("31"&amp;"."&amp;"12"&amp;"."&amp;Veri2!T$1)-$L7,{365,2190,5476},{20,20,26}),
IF(AND(YEAR(TODAY())=Veri2!T$1,TODAY()-VALUE(DAY($L7)&amp;"."&amp;MONTH($L7)&amp;"."&amp;YEAR(TODAY())-1)&gt;=365),
LOOKUP(VALUE(DAY(TODAY())&amp;"."&amp;MONTH(TODAY())&amp;"."&amp;Veri2!T$1)-$L7,{0,365,2190,5476},{0,20,20,26}),
IF(AND(YEAR(TODAY())=Veri2!T$1,TODAY()-VALUE(DAY($L7)&amp;"."&amp;MONTH($L7)&amp;"."&amp;YEAR(TODAY())-1)&lt;365),"")))),
IF(OR($I7="",$L7="",Veri2!T$1&lt;=YEAR($L7),Veri2!T$1&gt;YEAR(TODAY())),"",IF(AND(Veri2!T$1-YEAR($L7)&gt;=1,YEAR(TODAY())&lt;&gt;Veri2!T$1),
LOOKUP(VALUE("31"&amp;"."&amp;"12"&amp;"."&amp;Veri2!T$1)-$L7,{365,2190,5476},{14,20,26}),
IF(AND(YEAR(TODAY())=Veri2!T$1,TODAY()-VALUE(DAY($L7)&amp;"."&amp;MONTH($L7)&amp;"."&amp;YEAR(TODAY())-1)&gt;=365),
LOOKUP(VALUE(DAY(TODAY())&amp;"."&amp;MONTH(TODAY())&amp;"."&amp;Veri2!T$1)-$L7,{0,365,2190,5476},{0,14,20,26}),
IF(AND(YEAR(TODAY())=Veri2!T$1,TODAY()-VALUE(DAY($L7)&amp;"."&amp;MONTH($L7)&amp;"."&amp;YEAR(TODAY())-1)&lt;365),"")))))</f>
        <v/>
      </c>
      <c r="AM7" s="48" t="str">
        <f ca="1">IF(AND(INT(DATE(Veri2!U$1,MONTH($L7),DAY($L7))-DATE(YEAR($M7),MONTH($M7),DAY($M7)))/365.25&gt;=50,
IF(OR($I7="",$L7="",Veri2!U$1&lt;=YEAR($L7),Veri2!U$1&gt;YEAR(TODAY())),"",IF(AND(Veri2!U$1-YEAR($L7)&gt;=1,YEAR(TODAY())&lt;&gt;Veri2!U$1),
LOOKUP(VALUE("31"&amp;"."&amp;"12"&amp;"."&amp;Veri2!U$1)-$L7,{365,2190,5476},{14,20,26}),
IF(AND(YEAR(TODAY())=Veri2!U$1,TODAY()-VALUE(DAY($L7)&amp;"."&amp;MONTH($L7)&amp;"."&amp;YEAR(TODAY())-1)&gt;=365),
LOOKUP(VALUE(DAY(TODAY())&amp;"."&amp;MONTH(TODAY())&amp;"."&amp;Veri2!U$1)-$L7,{0,365,2190,5476},{0,14,20,26}),
IF(AND(YEAR(TODAY())=Veri2!U$1,TODAY()-VALUE(DAY($L7)&amp;"."&amp;MONTH($L7)&amp;"."&amp;YEAR(TODAY())-1)&lt;365),""))))=14),
IF(OR($I7="",$L7="",Veri2!U$1&lt;=YEAR($L7),Veri2!U$1&gt;YEAR(TODAY())),"",IF(AND(Veri2!U$1-YEAR($L7)&gt;=1,YEAR(TODAY())&lt;&gt;Veri2!U$1),
LOOKUP(VALUE("31"&amp;"."&amp;"12"&amp;"."&amp;Veri2!U$1)-$L7,{365,2190,5476},{20,20,26}),
IF(AND(YEAR(TODAY())=Veri2!U$1,TODAY()-VALUE(DAY($L7)&amp;"."&amp;MONTH($L7)&amp;"."&amp;YEAR(TODAY())-1)&gt;=365),
LOOKUP(VALUE(DAY(TODAY())&amp;"."&amp;MONTH(TODAY())&amp;"."&amp;Veri2!U$1)-$L7,{0,365,2190,5476},{0,20,20,26}),
IF(AND(YEAR(TODAY())=Veri2!U$1,TODAY()-VALUE(DAY($L7)&amp;"."&amp;MONTH($L7)&amp;"."&amp;YEAR(TODAY())-1)&lt;365),"")))),
IF(OR($I7="",$L7="",Veri2!U$1&lt;=YEAR($L7),Veri2!U$1&gt;YEAR(TODAY())),"",IF(AND(Veri2!U$1-YEAR($L7)&gt;=1,YEAR(TODAY())&lt;&gt;Veri2!U$1),
LOOKUP(VALUE("31"&amp;"."&amp;"12"&amp;"."&amp;Veri2!U$1)-$L7,{365,2190,5476},{14,20,26}),
IF(AND(YEAR(TODAY())=Veri2!U$1,TODAY()-VALUE(DAY($L7)&amp;"."&amp;MONTH($L7)&amp;"."&amp;YEAR(TODAY())-1)&gt;=365),
LOOKUP(VALUE(DAY(TODAY())&amp;"."&amp;MONTH(TODAY())&amp;"."&amp;Veri2!U$1)-$L7,{0,365,2190,5476},{0,14,20,26}),
IF(AND(YEAR(TODAY())=Veri2!U$1,TODAY()-VALUE(DAY($L7)&amp;"."&amp;MONTH($L7)&amp;"."&amp;YEAR(TODAY())-1)&lt;365),"")))))</f>
        <v/>
      </c>
      <c r="AN7" s="48" t="str">
        <f ca="1">IF(AND(INT(DATE(Veri2!V$1,MONTH($L7),DAY($L7))-DATE(YEAR($M7),MONTH($M7),DAY($M7)))/365.25&gt;=50,
IF(OR($I7="",$L7="",Veri2!V$1&lt;=YEAR($L7),Veri2!V$1&gt;YEAR(TODAY())),"",IF(AND(Veri2!V$1-YEAR($L7)&gt;=1,YEAR(TODAY())&lt;&gt;Veri2!V$1),
LOOKUP(VALUE("31"&amp;"."&amp;"12"&amp;"."&amp;Veri2!V$1)-$L7,{365,2190,5476},{14,20,26}),
IF(AND(YEAR(TODAY())=Veri2!V$1,TODAY()-VALUE(DAY($L7)&amp;"."&amp;MONTH($L7)&amp;"."&amp;YEAR(TODAY())-1)&gt;=365),
LOOKUP(VALUE(DAY(TODAY())&amp;"."&amp;MONTH(TODAY())&amp;"."&amp;Veri2!V$1)-$L7,{0,365,2190,5476},{0,14,20,26}),
IF(AND(YEAR(TODAY())=Veri2!V$1,TODAY()-VALUE(DAY($L7)&amp;"."&amp;MONTH($L7)&amp;"."&amp;YEAR(TODAY())-1)&lt;365),""))))=14),
IF(OR($I7="",$L7="",Veri2!V$1&lt;=YEAR($L7),Veri2!V$1&gt;YEAR(TODAY())),"",IF(AND(Veri2!V$1-YEAR($L7)&gt;=1,YEAR(TODAY())&lt;&gt;Veri2!V$1),
LOOKUP(VALUE("31"&amp;"."&amp;"12"&amp;"."&amp;Veri2!V$1)-$L7,{365,2190,5476},{20,20,26}),
IF(AND(YEAR(TODAY())=Veri2!V$1,TODAY()-VALUE(DAY($L7)&amp;"."&amp;MONTH($L7)&amp;"."&amp;YEAR(TODAY())-1)&gt;=365),
LOOKUP(VALUE(DAY(TODAY())&amp;"."&amp;MONTH(TODAY())&amp;"."&amp;Veri2!V$1)-$L7,{0,365,2190,5476},{0,20,20,26}),
IF(AND(YEAR(TODAY())=Veri2!V$1,TODAY()-VALUE(DAY($L7)&amp;"."&amp;MONTH($L7)&amp;"."&amp;YEAR(TODAY())-1)&lt;365),"")))),
IF(OR($I7="",$L7="",Veri2!V$1&lt;=YEAR($L7),Veri2!V$1&gt;YEAR(TODAY())),"",IF(AND(Veri2!V$1-YEAR($L7)&gt;=1,YEAR(TODAY())&lt;&gt;Veri2!V$1),
LOOKUP(VALUE("31"&amp;"."&amp;"12"&amp;"."&amp;Veri2!V$1)-$L7,{365,2190,5476},{14,20,26}),
IF(AND(YEAR(TODAY())=Veri2!V$1,TODAY()-VALUE(DAY($L7)&amp;"."&amp;MONTH($L7)&amp;"."&amp;YEAR(TODAY())-1)&gt;=365),
LOOKUP(VALUE(DAY(TODAY())&amp;"."&amp;MONTH(TODAY())&amp;"."&amp;Veri2!V$1)-$L7,{0,365,2190,5476},{0,14,20,26}),
IF(AND(YEAR(TODAY())=Veri2!V$1,TODAY()-VALUE(DAY($L7)&amp;"."&amp;MONTH($L7)&amp;"."&amp;YEAR(TODAY())-1)&lt;365),"")))))</f>
        <v/>
      </c>
      <c r="AO7" s="48" t="str">
        <f ca="1">IF(AND(INT(DATE(Veri2!W$1,MONTH($L7),DAY($L7))-DATE(YEAR($M7),MONTH($M7),DAY($M7)))/365.25&gt;=50,
IF(OR($I7="",$L7="",Veri2!W$1&lt;=YEAR($L7),Veri2!W$1&gt;YEAR(TODAY())),"",IF(AND(Veri2!W$1-YEAR($L7)&gt;=1,YEAR(TODAY())&lt;&gt;Veri2!W$1),
LOOKUP(VALUE("31"&amp;"."&amp;"12"&amp;"."&amp;Veri2!W$1)-$L7,{365,2190,5476},{14,20,26}),
IF(AND(YEAR(TODAY())=Veri2!W$1,TODAY()-VALUE(DAY($L7)&amp;"."&amp;MONTH($L7)&amp;"."&amp;YEAR(TODAY())-1)&gt;=365),
LOOKUP(VALUE(DAY(TODAY())&amp;"."&amp;MONTH(TODAY())&amp;"."&amp;Veri2!W$1)-$L7,{0,365,2190,5476},{0,14,20,26}),
IF(AND(YEAR(TODAY())=Veri2!W$1,TODAY()-VALUE(DAY($L7)&amp;"."&amp;MONTH($L7)&amp;"."&amp;YEAR(TODAY())-1)&lt;365),""))))=14),
IF(OR($I7="",$L7="",Veri2!W$1&lt;=YEAR($L7),Veri2!W$1&gt;YEAR(TODAY())),"",IF(AND(Veri2!W$1-YEAR($L7)&gt;=1,YEAR(TODAY())&lt;&gt;Veri2!W$1),
LOOKUP(VALUE("31"&amp;"."&amp;"12"&amp;"."&amp;Veri2!W$1)-$L7,{365,2190,5476},{20,20,26}),
IF(AND(YEAR(TODAY())=Veri2!W$1,TODAY()-VALUE(DAY($L7)&amp;"."&amp;MONTH($L7)&amp;"."&amp;YEAR(TODAY())-1)&gt;=365),
LOOKUP(VALUE(DAY(TODAY())&amp;"."&amp;MONTH(TODAY())&amp;"."&amp;Veri2!W$1)-$L7,{0,365,2190,5476},{0,20,20,26}),
IF(AND(YEAR(TODAY())=Veri2!W$1,TODAY()-VALUE(DAY($L7)&amp;"."&amp;MONTH($L7)&amp;"."&amp;YEAR(TODAY())-1)&lt;365),"")))),
IF(OR($I7="",$L7="",Veri2!W$1&lt;=YEAR($L7),Veri2!W$1&gt;YEAR(TODAY())),"",IF(AND(Veri2!W$1-YEAR($L7)&gt;=1,YEAR(TODAY())&lt;&gt;Veri2!W$1),
LOOKUP(VALUE("31"&amp;"."&amp;"12"&amp;"."&amp;Veri2!W$1)-$L7,{365,2190,5476},{14,20,26}),
IF(AND(YEAR(TODAY())=Veri2!W$1,TODAY()-VALUE(DAY($L7)&amp;"."&amp;MONTH($L7)&amp;"."&amp;YEAR(TODAY())-1)&gt;=365),
LOOKUP(VALUE(DAY(TODAY())&amp;"."&amp;MONTH(TODAY())&amp;"."&amp;Veri2!W$1)-$L7,{0,365,2190,5476},{0,14,20,26}),
IF(AND(YEAR(TODAY())=Veri2!W$1,TODAY()-VALUE(DAY($L7)&amp;"."&amp;MONTH($L7)&amp;"."&amp;YEAR(TODAY())-1)&lt;365),"")))))</f>
        <v/>
      </c>
      <c r="AP7" s="48" t="str">
        <f ca="1">IF(AND(INT(DATE(Veri2!X$1,MONTH($L7),DAY($L7))-DATE(YEAR($M7),MONTH($M7),DAY($M7)))/365.25&gt;=50,
IF(OR($I7="",$L7="",Veri2!X$1&lt;=YEAR($L7),Veri2!X$1&gt;YEAR(TODAY())),"",IF(AND(Veri2!X$1-YEAR($L7)&gt;=1,YEAR(TODAY())&lt;&gt;Veri2!X$1),
LOOKUP(VALUE("31"&amp;"."&amp;"12"&amp;"."&amp;Veri2!X$1)-$L7,{365,2190,5476},{14,20,26}),
IF(AND(YEAR(TODAY())=Veri2!X$1,TODAY()-VALUE(DAY($L7)&amp;"."&amp;MONTH($L7)&amp;"."&amp;YEAR(TODAY())-1)&gt;=365),
LOOKUP(VALUE(DAY(TODAY())&amp;"."&amp;MONTH(TODAY())&amp;"."&amp;Veri2!X$1)-$L7,{0,365,2190,5476},{0,14,20,26}),
IF(AND(YEAR(TODAY())=Veri2!X$1,TODAY()-VALUE(DAY($L7)&amp;"."&amp;MONTH($L7)&amp;"."&amp;YEAR(TODAY())-1)&lt;365),""))))=14),
IF(OR($I7="",$L7="",Veri2!X$1&lt;=YEAR($L7),Veri2!X$1&gt;YEAR(TODAY())),"",IF(AND(Veri2!X$1-YEAR($L7)&gt;=1,YEAR(TODAY())&lt;&gt;Veri2!X$1),
LOOKUP(VALUE("31"&amp;"."&amp;"12"&amp;"."&amp;Veri2!X$1)-$L7,{365,2190,5476},{20,20,26}),
IF(AND(YEAR(TODAY())=Veri2!X$1,TODAY()-VALUE(DAY($L7)&amp;"."&amp;MONTH($L7)&amp;"."&amp;YEAR(TODAY())-1)&gt;=365),
LOOKUP(VALUE(DAY(TODAY())&amp;"."&amp;MONTH(TODAY())&amp;"."&amp;Veri2!X$1)-$L7,{0,365,2190,5476},{0,20,20,26}),
IF(AND(YEAR(TODAY())=Veri2!X$1,TODAY()-VALUE(DAY($L7)&amp;"."&amp;MONTH($L7)&amp;"."&amp;YEAR(TODAY())-1)&lt;365),"")))),
IF(OR($I7="",$L7="",Veri2!X$1&lt;=YEAR($L7),Veri2!X$1&gt;YEAR(TODAY())),"",IF(AND(Veri2!X$1-YEAR($L7)&gt;=1,YEAR(TODAY())&lt;&gt;Veri2!X$1),
LOOKUP(VALUE("31"&amp;"."&amp;"12"&amp;"."&amp;Veri2!X$1)-$L7,{365,2190,5476},{14,20,26}),
IF(AND(YEAR(TODAY())=Veri2!X$1,TODAY()-VALUE(DAY($L7)&amp;"."&amp;MONTH($L7)&amp;"."&amp;YEAR(TODAY())-1)&gt;=365),
LOOKUP(VALUE(DAY(TODAY())&amp;"."&amp;MONTH(TODAY())&amp;"."&amp;Veri2!X$1)-$L7,{0,365,2190,5476},{0,14,20,26}),
IF(AND(YEAR(TODAY())=Veri2!X$1,TODAY()-VALUE(DAY($L7)&amp;"."&amp;MONTH($L7)&amp;"."&amp;YEAR(TODAY())-1)&lt;365),"")))))</f>
        <v/>
      </c>
      <c r="AQ7" s="48" t="str">
        <f ca="1">IF(AND(INT(DATE(Veri2!Y$1,MONTH($L7),DAY($L7))-DATE(YEAR($M7),MONTH($M7),DAY($M7)))/365.25&gt;=50,
IF(OR($I7="",$L7="",Veri2!Y$1&lt;=YEAR($L7),Veri2!Y$1&gt;YEAR(TODAY())),"",IF(AND(Veri2!Y$1-YEAR($L7)&gt;=1,YEAR(TODAY())&lt;&gt;Veri2!Y$1),
LOOKUP(VALUE("31"&amp;"."&amp;"12"&amp;"."&amp;Veri2!Y$1)-$L7,{365,2190,5476},{14,20,26}),
IF(AND(YEAR(TODAY())=Veri2!Y$1,TODAY()-VALUE(DAY($L7)&amp;"."&amp;MONTH($L7)&amp;"."&amp;YEAR(TODAY())-1)&gt;=365),
LOOKUP(VALUE(DAY(TODAY())&amp;"."&amp;MONTH(TODAY())&amp;"."&amp;Veri2!Y$1)-$L7,{0,365,2190,5476},{0,14,20,26}),
IF(AND(YEAR(TODAY())=Veri2!Y$1,TODAY()-VALUE(DAY($L7)&amp;"."&amp;MONTH($L7)&amp;"."&amp;YEAR(TODAY())-1)&lt;365),""))))=14),
IF(OR($I7="",$L7="",Veri2!Y$1&lt;=YEAR($L7),Veri2!Y$1&gt;YEAR(TODAY())),"",IF(AND(Veri2!Y$1-YEAR($L7)&gt;=1,YEAR(TODAY())&lt;&gt;Veri2!Y$1),
LOOKUP(VALUE("31"&amp;"."&amp;"12"&amp;"."&amp;Veri2!Y$1)-$L7,{365,2190,5476},{20,20,26}),
IF(AND(YEAR(TODAY())=Veri2!Y$1,TODAY()-VALUE(DAY($L7)&amp;"."&amp;MONTH($L7)&amp;"."&amp;YEAR(TODAY())-1)&gt;=365),
LOOKUP(VALUE(DAY(TODAY())&amp;"."&amp;MONTH(TODAY())&amp;"."&amp;Veri2!Y$1)-$L7,{0,365,2190,5476},{0,20,20,26}),
IF(AND(YEAR(TODAY())=Veri2!Y$1,TODAY()-VALUE(DAY($L7)&amp;"."&amp;MONTH($L7)&amp;"."&amp;YEAR(TODAY())-1)&lt;365),"")))),
IF(OR($I7="",$L7="",Veri2!Y$1&lt;=YEAR($L7),Veri2!Y$1&gt;YEAR(TODAY())),"",IF(AND(Veri2!Y$1-YEAR($L7)&gt;=1,YEAR(TODAY())&lt;&gt;Veri2!Y$1),
LOOKUP(VALUE("31"&amp;"."&amp;"12"&amp;"."&amp;Veri2!Y$1)-$L7,{365,2190,5476},{14,20,26}),
IF(AND(YEAR(TODAY())=Veri2!Y$1,TODAY()-VALUE(DAY($L7)&amp;"."&amp;MONTH($L7)&amp;"."&amp;YEAR(TODAY())-1)&gt;=365),
LOOKUP(VALUE(DAY(TODAY())&amp;"."&amp;MONTH(TODAY())&amp;"."&amp;Veri2!Y$1)-$L7,{0,365,2190,5476},{0,14,20,26}),
IF(AND(YEAR(TODAY())=Veri2!Y$1,TODAY()-VALUE(DAY($L7)&amp;"."&amp;MONTH($L7)&amp;"."&amp;YEAR(TODAY())-1)&lt;365),"")))))</f>
        <v/>
      </c>
      <c r="AR7" s="48" t="str">
        <f ca="1">IF(AND(INT(DATE(Veri2!Z$1,MONTH($L7),DAY($L7))-DATE(YEAR($M7),MONTH($M7),DAY($M7)))/365.25&gt;=50,
IF(OR($I7="",$L7="",Veri2!Z$1&lt;=YEAR($L7),Veri2!Z$1&gt;YEAR(TODAY())),"",IF(AND(Veri2!Z$1-YEAR($L7)&gt;=1,YEAR(TODAY())&lt;&gt;Veri2!Z$1),
LOOKUP(VALUE("31"&amp;"."&amp;"12"&amp;"."&amp;Veri2!Z$1)-$L7,{365,2190,5476},{14,20,26}),
IF(AND(YEAR(TODAY())=Veri2!Z$1,TODAY()-VALUE(DAY($L7)&amp;"."&amp;MONTH($L7)&amp;"."&amp;YEAR(TODAY())-1)&gt;=365),
LOOKUP(VALUE(DAY(TODAY())&amp;"."&amp;MONTH(TODAY())&amp;"."&amp;Veri2!Z$1)-$L7,{0,365,2190,5476},{0,14,20,26}),
IF(AND(YEAR(TODAY())=Veri2!Z$1,TODAY()-VALUE(DAY($L7)&amp;"."&amp;MONTH($L7)&amp;"."&amp;YEAR(TODAY())-1)&lt;365),""))))=14),
IF(OR($I7="",$L7="",Veri2!Z$1&lt;=YEAR($L7),Veri2!Z$1&gt;YEAR(TODAY())),"",IF(AND(Veri2!Z$1-YEAR($L7)&gt;=1,YEAR(TODAY())&lt;&gt;Veri2!Z$1),
LOOKUP(VALUE("31"&amp;"."&amp;"12"&amp;"."&amp;Veri2!Z$1)-$L7,{365,2190,5476},{20,20,26}),
IF(AND(YEAR(TODAY())=Veri2!Z$1,TODAY()-VALUE(DAY($L7)&amp;"."&amp;MONTH($L7)&amp;"."&amp;YEAR(TODAY())-1)&gt;=365),
LOOKUP(VALUE(DAY(TODAY())&amp;"."&amp;MONTH(TODAY())&amp;"."&amp;Veri2!Z$1)-$L7,{0,365,2190,5476},{0,20,20,26}),
IF(AND(YEAR(TODAY())=Veri2!Z$1,TODAY()-VALUE(DAY($L7)&amp;"."&amp;MONTH($L7)&amp;"."&amp;YEAR(TODAY())-1)&lt;365),"")))),
IF(OR($I7="",$L7="",Veri2!Z$1&lt;=YEAR($L7),Veri2!Z$1&gt;YEAR(TODAY())),"",IF(AND(Veri2!Z$1-YEAR($L7)&gt;=1,YEAR(TODAY())&lt;&gt;Veri2!Z$1),
LOOKUP(VALUE("31"&amp;"."&amp;"12"&amp;"."&amp;Veri2!Z$1)-$L7,{365,2190,5476},{14,20,26}),
IF(AND(YEAR(TODAY())=Veri2!Z$1,TODAY()-VALUE(DAY($L7)&amp;"."&amp;MONTH($L7)&amp;"."&amp;YEAR(TODAY())-1)&gt;=365),
LOOKUP(VALUE(DAY(TODAY())&amp;"."&amp;MONTH(TODAY())&amp;"."&amp;Veri2!Z$1)-$L7,{0,365,2190,5476},{0,14,20,26}),
IF(AND(YEAR(TODAY())=Veri2!Z$1,TODAY()-VALUE(DAY($L7)&amp;"."&amp;MONTH($L7)&amp;"."&amp;YEAR(TODAY())-1)&lt;365),"")))))</f>
        <v/>
      </c>
      <c r="AS7" s="48" t="str">
        <f ca="1">IF(AND(INT(DATE(Veri2!AA$1,MONTH($L7),DAY($L7))-DATE(YEAR($M7),MONTH($M7),DAY($M7)))/365.25&gt;=50,
IF(OR($I7="",$L7="",Veri2!AA$1&lt;=YEAR($L7),Veri2!AA$1&gt;YEAR(TODAY())),"",IF(AND(Veri2!AA$1-YEAR($L7)&gt;=1,YEAR(TODAY())&lt;&gt;Veri2!AA$1),
LOOKUP(VALUE("31"&amp;"."&amp;"12"&amp;"."&amp;Veri2!AA$1)-$L7,{365,2190,5476},{14,20,26}),
IF(AND(YEAR(TODAY())=Veri2!AA$1,TODAY()-VALUE(DAY($L7)&amp;"."&amp;MONTH($L7)&amp;"."&amp;YEAR(TODAY())-1)&gt;=365),
LOOKUP(VALUE(DAY(TODAY())&amp;"."&amp;MONTH(TODAY())&amp;"."&amp;Veri2!AA$1)-$L7,{0,365,2190,5476},{0,14,20,26}),
IF(AND(YEAR(TODAY())=Veri2!AA$1,TODAY()-VALUE(DAY($L7)&amp;"."&amp;MONTH($L7)&amp;"."&amp;YEAR(TODAY())-1)&lt;365),""))))=14),
IF(OR($I7="",$L7="",Veri2!AA$1&lt;=YEAR($L7),Veri2!AA$1&gt;YEAR(TODAY())),"",IF(AND(Veri2!AA$1-YEAR($L7)&gt;=1,YEAR(TODAY())&lt;&gt;Veri2!AA$1),
LOOKUP(VALUE("31"&amp;"."&amp;"12"&amp;"."&amp;Veri2!AA$1)-$L7,{365,2190,5476},{20,20,26}),
IF(AND(YEAR(TODAY())=Veri2!AA$1,TODAY()-VALUE(DAY($L7)&amp;"."&amp;MONTH($L7)&amp;"."&amp;YEAR(TODAY())-1)&gt;=365),
LOOKUP(VALUE(DAY(TODAY())&amp;"."&amp;MONTH(TODAY())&amp;"."&amp;Veri2!AA$1)-$L7,{0,365,2190,5476},{0,20,20,26}),
IF(AND(YEAR(TODAY())=Veri2!AA$1,TODAY()-VALUE(DAY($L7)&amp;"."&amp;MONTH($L7)&amp;"."&amp;YEAR(TODAY())-1)&lt;365),"")))),
IF(OR($I7="",$L7="",Veri2!AA$1&lt;=YEAR($L7),Veri2!AA$1&gt;YEAR(TODAY())),"",IF(AND(Veri2!AA$1-YEAR($L7)&gt;=1,YEAR(TODAY())&lt;&gt;Veri2!AA$1),
LOOKUP(VALUE("31"&amp;"."&amp;"12"&amp;"."&amp;Veri2!AA$1)-$L7,{365,2190,5476},{14,20,26}),
IF(AND(YEAR(TODAY())=Veri2!AA$1,TODAY()-VALUE(DAY($L7)&amp;"."&amp;MONTH($L7)&amp;"."&amp;YEAR(TODAY())-1)&gt;=365),
LOOKUP(VALUE(DAY(TODAY())&amp;"."&amp;MONTH(TODAY())&amp;"."&amp;Veri2!AA$1)-$L7,{0,365,2190,5476},{0,14,20,26}),
IF(AND(YEAR(TODAY())=Veri2!AA$1,TODAY()-VALUE(DAY($L7)&amp;"."&amp;MONTH($L7)&amp;"."&amp;YEAR(TODAY())-1)&lt;365),"")))))</f>
        <v/>
      </c>
      <c r="AT7" s="48" t="str">
        <f ca="1">IF(AND(INT(DATE(Veri2!AB$1,MONTH($L7),DAY($L7))-DATE(YEAR($M7),MONTH($M7),DAY($M7)))/365.25&gt;=50,
IF(OR($I7="",$L7="",Veri2!AB$1&lt;=YEAR($L7),Veri2!AB$1&gt;YEAR(TODAY())),"",IF(AND(Veri2!AB$1-YEAR($L7)&gt;=1,YEAR(TODAY())&lt;&gt;Veri2!AB$1),
LOOKUP(VALUE("31"&amp;"."&amp;"12"&amp;"."&amp;Veri2!AB$1)-$L7,{365,2190,5476},{14,20,26}),
IF(AND(YEAR(TODAY())=Veri2!AB$1,TODAY()-VALUE(DAY($L7)&amp;"."&amp;MONTH($L7)&amp;"."&amp;YEAR(TODAY())-1)&gt;=365),
LOOKUP(VALUE(DAY(TODAY())&amp;"."&amp;MONTH(TODAY())&amp;"."&amp;Veri2!AB$1)-$L7,{0,365,2190,5476},{0,14,20,26}),
IF(AND(YEAR(TODAY())=Veri2!AB$1,TODAY()-VALUE(DAY($L7)&amp;"."&amp;MONTH($L7)&amp;"."&amp;YEAR(TODAY())-1)&lt;365),""))))=14),
IF(OR($I7="",$L7="",Veri2!AB$1&lt;=YEAR($L7),Veri2!AB$1&gt;YEAR(TODAY())),"",IF(AND(Veri2!AB$1-YEAR($L7)&gt;=1,YEAR(TODAY())&lt;&gt;Veri2!AB$1),
LOOKUP(VALUE("31"&amp;"."&amp;"12"&amp;"."&amp;Veri2!AB$1)-$L7,{365,2190,5476},{20,20,26}),
IF(AND(YEAR(TODAY())=Veri2!AB$1,TODAY()-VALUE(DAY($L7)&amp;"."&amp;MONTH($L7)&amp;"."&amp;YEAR(TODAY())-1)&gt;=365),
LOOKUP(VALUE(DAY(TODAY())&amp;"."&amp;MONTH(TODAY())&amp;"."&amp;Veri2!AB$1)-$L7,{0,365,2190,5476},{0,20,20,26}),
IF(AND(YEAR(TODAY())=Veri2!AB$1,TODAY()-VALUE(DAY($L7)&amp;"."&amp;MONTH($L7)&amp;"."&amp;YEAR(TODAY())-1)&lt;365),"")))),
IF(OR($I7="",$L7="",Veri2!AB$1&lt;=YEAR($L7),Veri2!AB$1&gt;YEAR(TODAY())),"",IF(AND(Veri2!AB$1-YEAR($L7)&gt;=1,YEAR(TODAY())&lt;&gt;Veri2!AB$1),
LOOKUP(VALUE("31"&amp;"."&amp;"12"&amp;"."&amp;Veri2!AB$1)-$L7,{365,2190,5476},{14,20,26}),
IF(AND(YEAR(TODAY())=Veri2!AB$1,TODAY()-VALUE(DAY($L7)&amp;"."&amp;MONTH($L7)&amp;"."&amp;YEAR(TODAY())-1)&gt;=365),
LOOKUP(VALUE(DAY(TODAY())&amp;"."&amp;MONTH(TODAY())&amp;"."&amp;Veri2!AB$1)-$L7,{0,365,2190,5476},{0,14,20,26}),
IF(AND(YEAR(TODAY())=Veri2!AB$1,TODAY()-VALUE(DAY($L7)&amp;"."&amp;MONTH($L7)&amp;"."&amp;YEAR(TODAY())-1)&lt;365),"")))))</f>
        <v/>
      </c>
      <c r="AU7" s="48" t="str">
        <f ca="1">IF(AND(INT(DATE(Veri2!AC$1,MONTH($L7),DAY($L7))-DATE(YEAR($M7),MONTH($M7),DAY($M7)))/365.25&gt;=50,
IF(OR($I7="",$L7="",Veri2!AC$1&lt;=YEAR($L7),Veri2!AC$1&gt;YEAR(TODAY())),"",IF(AND(Veri2!AC$1-YEAR($L7)&gt;=1,YEAR(TODAY())&lt;&gt;Veri2!AC$1),
LOOKUP(VALUE("31"&amp;"."&amp;"12"&amp;"."&amp;Veri2!AC$1)-$L7,{365,2190,5476},{14,20,26}),
IF(AND(YEAR(TODAY())=Veri2!AC$1,TODAY()-VALUE(DAY($L7)&amp;"."&amp;MONTH($L7)&amp;"."&amp;YEAR(TODAY())-1)&gt;=365),
LOOKUP(VALUE(DAY(TODAY())&amp;"."&amp;MONTH(TODAY())&amp;"."&amp;Veri2!AC$1)-$L7,{0,365,2190,5476},{0,14,20,26}),
IF(AND(YEAR(TODAY())=Veri2!AC$1,TODAY()-VALUE(DAY($L7)&amp;"."&amp;MONTH($L7)&amp;"."&amp;YEAR(TODAY())-1)&lt;365),""))))=14),
IF(OR($I7="",$L7="",Veri2!AC$1&lt;=YEAR($L7),Veri2!AC$1&gt;YEAR(TODAY())),"",IF(AND(Veri2!AC$1-YEAR($L7)&gt;=1,YEAR(TODAY())&lt;&gt;Veri2!AC$1),
LOOKUP(VALUE("31"&amp;"."&amp;"12"&amp;"."&amp;Veri2!AC$1)-$L7,{365,2190,5476},{20,20,26}),
IF(AND(YEAR(TODAY())=Veri2!AC$1,TODAY()-VALUE(DAY($L7)&amp;"."&amp;MONTH($L7)&amp;"."&amp;YEAR(TODAY())-1)&gt;=365),
LOOKUP(VALUE(DAY(TODAY())&amp;"."&amp;MONTH(TODAY())&amp;"."&amp;Veri2!AC$1)-$L7,{0,365,2190,5476},{0,20,20,26}),
IF(AND(YEAR(TODAY())=Veri2!AC$1,TODAY()-VALUE(DAY($L7)&amp;"."&amp;MONTH($L7)&amp;"."&amp;YEAR(TODAY())-1)&lt;365),"")))),
IF(OR($I7="",$L7="",Veri2!AC$1&lt;=YEAR($L7),Veri2!AC$1&gt;YEAR(TODAY())),"",IF(AND(Veri2!AC$1-YEAR($L7)&gt;=1,YEAR(TODAY())&lt;&gt;Veri2!AC$1),
LOOKUP(VALUE("31"&amp;"."&amp;"12"&amp;"."&amp;Veri2!AC$1)-$L7,{365,2190,5476},{14,20,26}),
IF(AND(YEAR(TODAY())=Veri2!AC$1,TODAY()-VALUE(DAY($L7)&amp;"."&amp;MONTH($L7)&amp;"."&amp;YEAR(TODAY())-1)&gt;=365),
LOOKUP(VALUE(DAY(TODAY())&amp;"."&amp;MONTH(TODAY())&amp;"."&amp;Veri2!AC$1)-$L7,{0,365,2190,5476},{0,14,20,26}),
IF(AND(YEAR(TODAY())=Veri2!AC$1,TODAY()-VALUE(DAY($L7)&amp;"."&amp;MONTH($L7)&amp;"."&amp;YEAR(TODAY())-1)&lt;365),"")))))</f>
        <v/>
      </c>
      <c r="AV7" s="48" t="str">
        <f ca="1">IFERROR(IF(OR($L7=0, $L7="", DATE(Veri2!AD$1, MONTH($L7), DAY($L7))&lt;=$L7, DATE(Veri2!AD$1, MONTH($L7), DAY($L7))&gt;TODAY()), "", IF((DATEDIF($L7, DATE(Veri2!AD$1, MONTH($L7), DAY($L7)), "y")+$BW7)&lt;1, 0, IF(OR(DATEDIF($M7, DATE(Veri2!AD$1, MONTH($L7), DAY($L7)), "y")&gt;=50, DATEDIF($M7, DATE(Veri2!AD$1, MONTH($L7), DAY($L7)), "y")&lt;=18), IF((DATEDIF($L7, DATE(Veri2!AD$1, MONTH($L7), DAY($L7)), "y")+$BW7)&gt;=15, 26, 20), IF((DATEDIF($L7, DATE(Veri2!AD$1, MONTH($L7), DAY($L7)), "y")+$BW7)&gt;=15, 26, IF((DATEDIF($L7, DATE(Veri2!AD$1, MONTH($L7), DAY($L7)), "y")+$BW7)&gt;=5, 20, 14))))), "")</f>
        <v/>
      </c>
      <c r="AW7" s="48">
        <f ca="1">IFERROR(IF(OR($L7=0, $L7="", DATE(Veri2!AE$1, MONTH($L7), DAY($L7))&lt;=$L7, DATE(Veri2!AE$1, MONTH($L7), DAY($L7))&gt;TODAY()), "",
    IF((DATEDIF($L7, DATE(Veri2!AE$1, MONTH($L7), DAY($L7)), "y")+$BW7)&lt;1, 0,
        IF(OR(DATEDIF($M7, DATE(Veri2!AE$1, MONTH($L7), DAY($L7)), "y")&gt;=50, DATEDIF($M7, DATE(Veri2!AE$1, MONTH($L7), DAY($L7)), "y")&lt;=18),
            IF((DATEDIF($L7, DATE(Veri2!AE$1, MONTH($L7), DAY($L7)), "y")+$BW7)&gt;=15, 26, 20),
            IF((DATEDIF($L7, DATE(Veri2!AE$1, MONTH($L7), DAY($L7)), "y")+$BW7)&gt;=15, 26,
                IF((DATEDIF($L7, DATE(Veri2!AE$1, MONTH($L7), DAY($L7)), "y")+$BW7)&gt;5, 20, 14))
        )
    )
), "")</f>
        <v>14</v>
      </c>
      <c r="AX7" s="48">
        <f ca="1">IFERROR(IF(OR($L7=0, $L7="", DATE(Veri2!AF$1, MONTH($L7), DAY($L7))&lt;=$L7, DATE(Veri2!AF$1, MONTH($L7), DAY($L7))&gt;TODAY()), "",
    IF((DATEDIF($L7, DATE(Veri2!AF$1, MONTH($L7), DAY($L7)), "y")+$BW7)&lt;1, 0,
        IF(OR(DATEDIF($M7, DATE(Veri2!AF$1, MONTH($L7), DAY($L7)), "y")&gt;=50, DATEDIF($M7, DATE(Veri2!AF$1, MONTH($L7), DAY($L7)), "y")&lt;=18),
            IF((DATEDIF($L7, DATE(Veri2!AF$1, MONTH($L7), DAY($L7)), "y")+$BW7)&gt;=15, 26, 20),
            IF((DATEDIF($L7, DATE(Veri2!AF$1, MONTH($L7), DAY($L7)), "y")+$BW7)&gt;=15, 26,
                IF((DATEDIF($L7, DATE(Veri2!AF$1, MONTH($L7), DAY($L7)), "y")+$BW7)&gt;5, 20, 14))
        )
    )
), "")</f>
        <v>14</v>
      </c>
      <c r="AY7" s="48" t="str">
        <f ca="1">IFERROR(IF(OR($L7=0, $L7="", DATE(Veri2!AG$1, MONTH($L7), DAY($L7))&lt;=$L7, DATE(Veri2!AG$1, MONTH($L7), DAY($L7))&gt;TODAY()), "",
    IF((DATEDIF($L7, DATE(Veri2!AG$1, MONTH($L7), DAY($L7)), "y")+$BW7)&lt;1, 0,
        IF(OR(DATEDIF($M7, DATE(Veri2!AG$1, MONTH($L7), DAY($L7)), "y")&gt;=50, DATEDIF($M7, DATE(Veri2!AG$1, MONTH($L7), DAY($L7)), "y")&lt;=18),
            IF((DATEDIF($L7, DATE(Veri2!AG$1, MONTH($L7), DAY($L7)), "y")+$BW7)&gt;=15, 26, 20),
            IF((DATEDIF($L7, DATE(Veri2!AG$1, MONTH($L7), DAY($L7)), "y")+$BW7)&gt;=15, 26,
                IF((DATEDIF($L7, DATE(Veri2!AG$1, MONTH($L7), DAY($L7)), "y")+$BW7)&gt;5, 20, 14))
        )
    )
), "")</f>
        <v/>
      </c>
      <c r="AZ7" s="48" t="str">
        <f ca="1">IFERROR(IF(OR($L7=0, $L7="", DATE(Veri2!AH$1, MONTH($L7), DAY($L7))&lt;=$L7, DATE(Veri2!AH$1, MONTH($L7), DAY($L7))&gt;TODAY()), "",
    IF((DATEDIF($L7, DATE(Veri2!AH$1, MONTH($L7), DAY($L7)), "y")+$BW7)&lt;1, 0,
        IF(OR(DATEDIF($M7, DATE(Veri2!AH$1, MONTH($L7), DAY($L7)), "y")&gt;=50, DATEDIF($M7, DATE(Veri2!AH$1, MONTH($L7), DAY($L7)), "y")&lt;=18),
            IF((DATEDIF($L7, DATE(Veri2!AH$1, MONTH($L7), DAY($L7)), "y")+$BW7)&gt;=15, 26, 20),
            IF((DATEDIF($L7, DATE(Veri2!AH$1, MONTH($L7), DAY($L7)), "y")+$BW7)&gt;=15, 26,
                IF((DATEDIF($L7, DATE(Veri2!AH$1, MONTH($L7), DAY($L7)), "y")+$BW7)&gt;5, 20, 14))
        )
    )
), "")</f>
        <v/>
      </c>
      <c r="BA7" s="48" t="str">
        <f ca="1">IFERROR(IF(OR($L7=0, $L7="", DATE(Veri2!AI$1, MONTH($L7), DAY($L7))&lt;=$L7, DATE(Veri2!AI$1, MONTH($L7), DAY($L7))&gt;TODAY()), "",
    IF((DATEDIF($L7, DATE(Veri2!AI$1, MONTH($L7), DAY($L7)), "y")+$BW7)&lt;1, 0,
        IF(OR(DATEDIF($M7, DATE(Veri2!AI$1, MONTH($L7), DAY($L7)), "y")&gt;=50, DATEDIF($M7, DATE(Veri2!AI$1, MONTH($L7), DAY($L7)), "y")&lt;=18),
            IF((DATEDIF($L7, DATE(Veri2!AI$1, MONTH($L7), DAY($L7)), "y")+$BW7)&gt;=15, 26, 20),
            IF((DATEDIF($L7, DATE(Veri2!AI$1, MONTH($L7), DAY($L7)), "y")+$BW7)&gt;=15, 26,
                IF((DATEDIF($L7, DATE(Veri2!AI$1, MONTH($L7), DAY($L7)), "y")+$BW7)&gt;5, 20, 14))
        )
    )
), "")</f>
        <v/>
      </c>
      <c r="BB7" s="48" t="str">
        <f ca="1">IFERROR(IF(OR($L7=0, $L7="", DATE(Veri2!AJ$1, MONTH($L7), DAY($L7))&lt;=$L7, DATE(Veri2!AJ$1, MONTH($L7), DAY($L7))&gt;TODAY()), "",
    IF((DATEDIF($L7, DATE(Veri2!AJ$1, MONTH($L7), DAY($L7)), "y")+$BW7)&lt;1, 0,
        IF(OR(DATEDIF($M7, DATE(Veri2!AJ$1, MONTH($L7), DAY($L7)), "y")&gt;=50, DATEDIF($M7, DATE(Veri2!AJ$1, MONTH($L7), DAY($L7)), "y")&lt;=18),
            IF((DATEDIF($L7, DATE(Veri2!AJ$1, MONTH($L7), DAY($L7)), "y")+$BW7)&gt;=15, 26, 20),
            IF((DATEDIF($L7, DATE(Veri2!AJ$1, MONTH($L7), DAY($L7)), "y")+$BW7)&gt;=15, 26,
                IF((DATEDIF($L7, DATE(Veri2!AJ$1, MONTH($L7), DAY($L7)), "y")+$BW7)&gt;5, 20, 14))
        )
    )
), "")</f>
        <v/>
      </c>
      <c r="BC7" s="48" t="str">
        <f ca="1">IFERROR(IF(OR($L7=0, $L7="", DATE(Veri2!AK$1, MONTH($L7), DAY($L7))&lt;=$L7, DATE(Veri2!AK$1, MONTH($L7), DAY($L7))&gt;TODAY()), "",
    IF((DATEDIF($L7, DATE(Veri2!AK$1, MONTH($L7), DAY($L7)), "y")+$BW7)&lt;1, 0,
        IF(OR(DATEDIF($M7, DATE(Veri2!AK$1, MONTH($L7), DAY($L7)), "y")&gt;=50, DATEDIF($M7, DATE(Veri2!AK$1, MONTH($L7), DAY($L7)), "y")&lt;=18),
            IF((DATEDIF($L7, DATE(Veri2!AK$1, MONTH($L7), DAY($L7)), "y")+$BW7)&gt;=15, 26, 20),
            IF((DATEDIF($L7, DATE(Veri2!AK$1, MONTH($L7), DAY($L7)), "y")+$BW7)&gt;=15, 26,
                IF((DATEDIF($L7, DATE(Veri2!AK$1, MONTH($L7), DAY($L7)), "y")+$BW7)&gt;5, 20, 14))
        )
    )
), "")</f>
        <v/>
      </c>
      <c r="BD7" s="48" t="str">
        <f ca="1">IFERROR(IF(OR($L7=0, $L7="", DATE(Veri2!AL$1, MONTH($L7), DAY($L7))&lt;=$L7, DATE(Veri2!AL$1, MONTH($L7), DAY($L7))&gt;TODAY()), "",
    IF((DATEDIF($L7, DATE(Veri2!AL$1, MONTH($L7), DAY($L7)), "y")+$BW7)&lt;1, 0,
        IF(OR(DATEDIF($M7, DATE(Veri2!AL$1, MONTH($L7), DAY($L7)), "y")&gt;=50, DATEDIF($M7, DATE(Veri2!AL$1, MONTH($L7), DAY($L7)), "y")&lt;=18),
            IF((DATEDIF($L7, DATE(Veri2!AL$1, MONTH($L7), DAY($L7)), "y")+$BW7)&gt;=15, 26, 20),
            IF((DATEDIF($L7, DATE(Veri2!AL$1, MONTH($L7), DAY($L7)), "y")+$BW7)&gt;=15, 26,
                IF((DATEDIF($L7, DATE(Veri2!AL$1, MONTH($L7), DAY($L7)), "y")+$BW7)&gt;5, 20, 14))
        )
    )
), "")</f>
        <v/>
      </c>
      <c r="BE7" s="48" t="str">
        <f ca="1">IFERROR(IF(OR($L7=0, $L7="", DATE(Veri2!AM$1, MONTH($L7), DAY($L7))&lt;=$L7, DATE(Veri2!AM$1, MONTH($L7), DAY($L7))&gt;TODAY()), "",
    IF((DATEDIF($L7, DATE(Veri2!AM$1, MONTH($L7), DAY($L7)), "y")+$BW7)&lt;1, 0,
        IF(OR(DATEDIF($M7, DATE(Veri2!AM$1, MONTH($L7), DAY($L7)), "y")&gt;=50, DATEDIF($M7, DATE(Veri2!AM$1, MONTH($L7), DAY($L7)), "y")&lt;=18),
            IF((DATEDIF($L7, DATE(Veri2!AM$1, MONTH($L7), DAY($L7)), "y")+$BW7)&gt;=15, 26, 20),
            IF((DATEDIF($L7, DATE(Veri2!AM$1, MONTH($L7), DAY($L7)), "y")+$BW7)&gt;=15, 26,
                IF((DATEDIF($L7, DATE(Veri2!AM$1, MONTH($L7), DAY($L7)), "y")+$BW7)&gt;5, 20, 14))
        )
    )
), "")</f>
        <v/>
      </c>
      <c r="BF7" s="48" t="str">
        <f ca="1">IFERROR(IF(OR($L7=0, $L7="", DATE(Veri2!AN$1, MONTH($L7), DAY($L7))&lt;=$L7, DATE(Veri2!AN$1, MONTH($L7), DAY($L7))&gt;TODAY()), "",
    IF((DATEDIF($L7, DATE(Veri2!AN$1, MONTH($L7), DAY($L7)), "y")+$BW7)&lt;1, 0,
        IF(OR(DATEDIF($M7, DATE(Veri2!AN$1, MONTH($L7), DAY($L7)), "y")&gt;=50, DATEDIF($M7, DATE(Veri2!AN$1, MONTH($L7), DAY($L7)), "y")&lt;=18),
            IF((DATEDIF($L7, DATE(Veri2!AN$1, MONTH($L7), DAY($L7)), "y")+$BW7)&gt;=15, 26, 20),
            IF((DATEDIF($L7, DATE(Veri2!AN$1, MONTH($L7), DAY($L7)), "y")+$BW7)&gt;=15, 26,
                IF((DATEDIF($L7, DATE(Veri2!AN$1, MONTH($L7), DAY($L7)), "y")+$BW7)&gt;5, 20, 14))
        )
    )
), "")</f>
        <v/>
      </c>
      <c r="BG7" s="48" t="str">
        <f ca="1">IFERROR(IF(OR($L7=0, $L7="", DATE(Veri2!AO$1, MONTH($L7), DAY($L7))&lt;=$L7, DATE(Veri2!AO$1, MONTH($L7), DAY($L7))&gt;TODAY()), "",
    IF((DATEDIF($L7, DATE(Veri2!AO$1, MONTH($L7), DAY($L7)), "y")+$BW7)&lt;1, 0,
        IF(OR(DATEDIF($M7, DATE(Veri2!AO$1, MONTH($L7), DAY($L7)), "y")&gt;=50, DATEDIF($M7, DATE(Veri2!AO$1, MONTH($L7), DAY($L7)), "y")&lt;=18),
            IF((DATEDIF($L7, DATE(Veri2!AO$1, MONTH($L7), DAY($L7)), "y")+$BW7)&gt;=15, 26, 20),
            IF((DATEDIF($L7, DATE(Veri2!AO$1, MONTH($L7), DAY($L7)), "y")+$BW7)&gt;=15, 26,
                IF((DATEDIF($L7, DATE(Veri2!AO$1, MONTH($L7), DAY($L7)), "y")+$BW7)&gt;5, 20, 14))
        )
    )
), "")</f>
        <v/>
      </c>
      <c r="BH7" s="48" t="str">
        <f ca="1">IFERROR(IF(OR($L7=0, $L7="", DATE(Veri2!AP$1, MONTH($L7), DAY($L7))&lt;=$L7, DATE(Veri2!AP$1, MONTH($L7), DAY($L7))&gt;TODAY()), "",
    IF((DATEDIF($L7, DATE(Veri2!AP$1, MONTH($L7), DAY($L7)), "y")+$BW7)&lt;1, 0,
        IF(OR(DATEDIF($M7, DATE(Veri2!AP$1, MONTH($L7), DAY($L7)), "y")&gt;=50, DATEDIF($M7, DATE(Veri2!AP$1, MONTH($L7), DAY($L7)), "y")&lt;=18),
            IF((DATEDIF($L7, DATE(Veri2!AP$1, MONTH($L7), DAY($L7)), "y")+$BW7)&gt;=15, 26, 20),
            IF((DATEDIF($L7, DATE(Veri2!AP$1, MONTH($L7), DAY($L7)), "y")+$BW7)&gt;=15, 26,
                IF((DATEDIF($L7, DATE(Veri2!AP$1, MONTH($L7), DAY($L7)), "y")+$BW7)&gt;5, 20, 14))
        )
    )
), "")</f>
        <v/>
      </c>
      <c r="BI7" s="48" t="str">
        <f ca="1">IFERROR(IF(OR($L7=0, $L7="", DATE(Veri2!AQ$1, MONTH($L7), DAY($L7))&lt;=$L7, DATE(Veri2!AQ$1, MONTH($L7), DAY($L7))&gt;TODAY()), "",
    IF((DATEDIF($L7, DATE(Veri2!AQ$1, MONTH($L7), DAY($L7)), "y")+$BW7)&lt;1, 0,
        IF(OR(DATEDIF($M7, DATE(Veri2!AQ$1, MONTH($L7), DAY($L7)), "y")&gt;=50, DATEDIF($M7, DATE(Veri2!AQ$1, MONTH($L7), DAY($L7)), "y")&lt;=18),
            IF((DATEDIF($L7, DATE(Veri2!AQ$1, MONTH($L7), DAY($L7)), "y")+$BW7)&gt;=15, 26, 20),
            IF((DATEDIF($L7, DATE(Veri2!AQ$1, MONTH($L7), DAY($L7)), "y")+$BW7)&gt;=15, 26,
                IF((DATEDIF($L7, DATE(Veri2!AQ$1, MONTH($L7), DAY($L7)), "y")+$BW7)&gt;5, 20, 14))
        )
    )
), "")</f>
        <v/>
      </c>
      <c r="BJ7" s="48" t="str">
        <f ca="1">IFERROR(IF(OR($L7=0, $L7="", DATE(Veri2!AR$1, MONTH($L7), DAY($L7))&lt;=$L7, DATE(Veri2!AR$1, MONTH($L7), DAY($L7))&gt;TODAY()), "",
    IF((DATEDIF($L7, DATE(Veri2!AR$1, MONTH($L7), DAY($L7)), "y")+$BW7)&lt;1, 0,
        IF(OR(DATEDIF($M7, DATE(Veri2!AR$1, MONTH($L7), DAY($L7)), "y")&gt;=50, DATEDIF($M7, DATE(Veri2!AR$1, MONTH($L7), DAY($L7)), "y")&lt;=18),
            IF((DATEDIF($L7, DATE(Veri2!AR$1, MONTH($L7), DAY($L7)), "y")+$BW7)&gt;=15, 26, 20),
            IF((DATEDIF($L7, DATE(Veri2!AR$1, MONTH($L7), DAY($L7)), "y")+$BW7)&gt;=15, 26,
                IF((DATEDIF($L7, DATE(Veri2!AR$1, MONTH($L7), DAY($L7)), "y")+$BW7)&gt;5, 20, 14))
        )
    )
), "")</f>
        <v/>
      </c>
      <c r="BK7" s="48" t="str">
        <f ca="1">IFERROR(IF(OR($L7=0, $L7="", DATE(Veri2!AS$1, MONTH($L7), DAY($L7))&lt;=$L7, DATE(Veri2!AS$1, MONTH($L7), DAY($L7))&gt;TODAY()), "",
    IF((DATEDIF($L7, DATE(Veri2!AS$1, MONTH($L7), DAY($L7)), "y")+$BW7)&lt;1, 0,
        IF(OR(DATEDIF($M7, DATE(Veri2!AS$1, MONTH($L7), DAY($L7)), "y")&gt;=50, DATEDIF($M7, DATE(Veri2!AS$1, MONTH($L7), DAY($L7)), "y")&lt;=18),
            IF((DATEDIF($L7, DATE(Veri2!AS$1, MONTH($L7), DAY($L7)), "y")+$BW7)&gt;=15, 26, 20),
            IF((DATEDIF($L7, DATE(Veri2!AS$1, MONTH($L7), DAY($L7)), "y")+$BW7)&gt;=15, 26,
                IF((DATEDIF($L7, DATE(Veri2!AS$1, MONTH($L7), DAY($L7)), "y")+$BW7)&gt;5, 20, 14))
        )
    )
), "")</f>
        <v/>
      </c>
      <c r="BL7" s="48" t="str">
        <f ca="1">IFERROR(IF(OR($L7=0, $L7="", DATE(Veri2!AT$1, MONTH($L7), DAY($L7))&lt;=$L7, DATE(Veri2!AT$1, MONTH($L7), DAY($L7))&gt;TODAY()), "",
    IF((DATEDIF($L7, DATE(Veri2!AT$1, MONTH($L7), DAY($L7)), "y")+$BW7)&lt;1, 0,
        IF(OR(DATEDIF($M7, DATE(Veri2!AT$1, MONTH($L7), DAY($L7)), "y")&gt;=50, DATEDIF($M7, DATE(Veri2!AT$1, MONTH($L7), DAY($L7)), "y")&lt;=18),
            IF((DATEDIF($L7, DATE(Veri2!AT$1, MONTH($L7), DAY($L7)), "y")+$BW7)&gt;=15, 26, 20),
            IF((DATEDIF($L7, DATE(Veri2!AT$1, MONTH($L7), DAY($L7)), "y")+$BW7)&gt;=15, 26,
                IF((DATEDIF($L7, DATE(Veri2!AT$1, MONTH($L7), DAY($L7)), "y")+$BW7)&gt;5, 20, 14))
        )
    )
), "")</f>
        <v/>
      </c>
      <c r="BM7" s="48" t="str">
        <f ca="1">IFERROR(IF(OR($L7=0, $L7="", DATE(Veri2!AU$1, MONTH($L7), DAY($L7))&lt;=$L7, DATE(Veri2!AU$1, MONTH($L7), DAY($L7))&gt;TODAY()), "",
    IF((DATEDIF($L7, DATE(Veri2!AU$1, MONTH($L7), DAY($L7)), "y")+$BW7)&lt;1, 0,
        IF(OR(DATEDIF($M7, DATE(Veri2!AU$1, MONTH($L7), DAY($L7)), "y")&gt;=50, DATEDIF($M7, DATE(Veri2!AU$1, MONTH($L7), DAY($L7)), "y")&lt;=18),
            IF((DATEDIF($L7, DATE(Veri2!AU$1, MONTH($L7), DAY($L7)), "y")+$BW7)&gt;=15, 26, 20),
            IF((DATEDIF($L7, DATE(Veri2!AU$1, MONTH($L7), DAY($L7)), "y")+$BW7)&gt;=15, 26,
                IF((DATEDIF($L7, DATE(Veri2!AU$1, MONTH($L7), DAY($L7)), "y")+$BW7)&gt;5, 20, 14))
        )
    )
), "")</f>
        <v/>
      </c>
      <c r="BN7" s="48" t="str">
        <f ca="1">IFERROR(IF(OR($L7=0, $L7="", DATE(Veri2!AV$1, MONTH($L7), DAY($L7))&lt;=$L7, DATE(Veri2!AV$1, MONTH($L7), DAY($L7))&gt;TODAY()), "",
    IF((DATEDIF($L7, DATE(Veri2!AV$1, MONTH($L7), DAY($L7)), "y")+$BW7)&lt;1, 0,
        IF(OR(DATEDIF($M7, DATE(Veri2!AV$1, MONTH($L7), DAY($L7)), "y")&gt;=50, DATEDIF($M7, DATE(Veri2!AV$1, MONTH($L7), DAY($L7)), "y")&lt;=18),
            IF((DATEDIF($L7, DATE(Veri2!AV$1, MONTH($L7), DAY($L7)), "y")+$BW7)&gt;=15, 26, 20),
            IF((DATEDIF($L7, DATE(Veri2!AV$1, MONTH($L7), DAY($L7)), "y")+$BW7)&gt;=15, 26,
                IF((DATEDIF($L7, DATE(Veri2!AV$1, MONTH($L7), DAY($L7)), "y")+$BW7)&gt;5, 20, 14))
        )
    )
), "")</f>
        <v/>
      </c>
      <c r="BO7" s="48" t="str">
        <f ca="1">IFERROR(IF(OR($L7=0, $L7="", DATE(Veri2!AW$1, MONTH($L7), DAY($L7))&lt;=$L7, DATE(Veri2!AW$1, MONTH($L7), DAY($L7))&gt;TODAY()), "",
    IF((DATEDIF($L7, DATE(Veri2!AW$1, MONTH($L7), DAY($L7)), "y")+$BW7)&lt;1, 0,
        IF(OR(DATEDIF($M7, DATE(Veri2!AW$1, MONTH($L7), DAY($L7)), "y")&gt;=50, DATEDIF($M7, DATE(Veri2!AW$1, MONTH($L7), DAY($L7)), "y")&lt;=18),
            IF((DATEDIF($L7, DATE(Veri2!AW$1, MONTH($L7), DAY($L7)), "y")+$BW7)&gt;=15, 26, 20),
            IF((DATEDIF($L7, DATE(Veri2!AW$1, MONTH($L7), DAY($L7)), "y")+$BW7)&gt;=15, 26,
                IF((DATEDIF($L7, DATE(Veri2!AW$1, MONTH($L7), DAY($L7)), "y")+$BW7)&gt;5, 20, 14))
        )
    )
), "")</f>
        <v/>
      </c>
      <c r="BP7" s="48" t="str">
        <f ca="1">IFERROR(IF(OR($L7=0, $L7="", DATE(Veri2!AX$1, MONTH($L7), DAY($L7))&lt;=$L7, DATE(Veri2!AX$1, MONTH($L7), DAY($L7))&gt;TODAY()), "",
    IF((DATEDIF($L7, DATE(Veri2!AX$1, MONTH($L7), DAY($L7)), "y")+$BW7)&lt;1, 0,
        IF(OR(DATEDIF($M7, DATE(Veri2!AX$1, MONTH($L7), DAY($L7)), "y")&gt;=50, DATEDIF($M7, DATE(Veri2!AX$1, MONTH($L7), DAY($L7)), "y")&lt;=18),
            IF((DATEDIF($L7, DATE(Veri2!AX$1, MONTH($L7), DAY($L7)), "y")+$BW7)&gt;=15, 26, 20),
            IF((DATEDIF($L7, DATE(Veri2!AX$1, MONTH($L7), DAY($L7)), "y")+$BW7)&gt;=15, 26,
                IF((DATEDIF($L7, DATE(Veri2!AX$1, MONTH($L7), DAY($L7)), "y")+$BW7)&gt;5, 20, 14))
        )
    )
), "")</f>
        <v/>
      </c>
      <c r="BQ7" s="48" t="str">
        <f ca="1">IFERROR(IF(OR($L7=0, $L7="", DATE(Veri2!AY$1, MONTH($L7), DAY($L7))&lt;=$L7, DATE(Veri2!AY$1, MONTH($L7), DAY($L7))&gt;TODAY()), "",
    IF((DATEDIF($L7, DATE(Veri2!AY$1, MONTH($L7), DAY($L7)), "y")+$BW7)&lt;1, 0,
        IF(OR(DATEDIF($M7, DATE(Veri2!AY$1, MONTH($L7), DAY($L7)), "y")&gt;=50, DATEDIF($M7, DATE(Veri2!AY$1, MONTH($L7), DAY($L7)), "y")&lt;=18),
            IF((DATEDIF($L7, DATE(Veri2!AY$1, MONTH($L7), DAY($L7)), "y")+$BW7)&gt;=15, 26, 20),
            IF((DATEDIF($L7, DATE(Veri2!AY$1, MONTH($L7), DAY($L7)), "y")+$BW7)&gt;=15, 26,
                IF((DATEDIF($L7, DATE(Veri2!AY$1, MONTH($L7), DAY($L7)), "y")+$BW7)&gt;5, 20, 14))
        )
    )
), "")</f>
        <v/>
      </c>
      <c r="BR7" s="48" t="str">
        <f ca="1">IFERROR(IF(OR($L7=0, $L7="", DATE(Veri2!AZ$1, MONTH($L7), DAY($L7))&lt;=$L7, DATE(Veri2!AZ$1, MONTH($L7), DAY($L7))&gt;TODAY()), "",
    IF((DATEDIF($L7, DATE(Veri2!AZ$1, MONTH($L7), DAY($L7)), "y")+$BW7)&lt;1, 0,
        IF(OR(DATEDIF($M7, DATE(Veri2!AZ$1, MONTH($L7), DAY($L7)), "y")&gt;=50, DATEDIF($M7, DATE(Veri2!AZ$1, MONTH($L7), DAY($L7)), "y")&lt;=18),
            IF((DATEDIF($L7, DATE(Veri2!AZ$1, MONTH($L7), DAY($L7)), "y")+$BW7)&gt;=15, 26, 20),
            IF((DATEDIF($L7, DATE(Veri2!AZ$1, MONTH($L7), DAY($L7)), "y")+$BW7)&gt;=15, 26,
                IF((DATEDIF($L7, DATE(Veri2!AZ$1, MONTH($L7), DAY($L7)), "y")+$BW7)&gt;5, 20, 14))
        )
    )
), "")</f>
        <v/>
      </c>
      <c r="BS7" s="48" t="str">
        <f ca="1">IFERROR(IF(OR($L7=0, $L7="", DATE(Veri2!BA$1, MONTH($L7), DAY($L7))&lt;=$L7, DATE(Veri2!BA$1, MONTH($L7), DAY($L7))&gt;TODAY()), "",
    IF((DATEDIF($L7, DATE(Veri2!BA$1, MONTH($L7), DAY($L7)), "y")+$BW7)&lt;1, 0,
        IF(OR(DATEDIF($M7, DATE(Veri2!BA$1, MONTH($L7), DAY($L7)), "y")&gt;=50, DATEDIF($M7, DATE(Veri2!BA$1, MONTH($L7), DAY($L7)), "y")&lt;=18),
            IF((DATEDIF($L7, DATE(Veri2!BA$1, MONTH($L7), DAY($L7)), "y")+$BW7)&gt;=15, 26, 20),
            IF((DATEDIF($L7, DATE(Veri2!BA$1, MONTH($L7), DAY($L7)), "y")+$BW7)&gt;=15, 26,
                IF((DATEDIF($L7, DATE(Veri2!BA$1, MONTH($L7), DAY($L7)), "y")+$BW7)&gt;5, 20, 14))
        )
    )
), "")</f>
        <v/>
      </c>
      <c r="BT7" s="48" t="str">
        <f ca="1">IFERROR(IF(OR($L7=0, $L7="", DATE(Veri2!BB$1, MONTH($L7), DAY($L7))&lt;=$L7, DATE(Veri2!BB$1, MONTH($L7), DAY($L7))&gt;TODAY()), "",
    IF((DATEDIF($L7, DATE(Veri2!BB$1, MONTH($L7), DAY($L7)), "y")+$BW7)&lt;1, 0,
        IF(OR(DATEDIF($M7, DATE(Veri2!BB$1, MONTH($L7), DAY($L7)), "y")&gt;=50, DATEDIF($M7, DATE(Veri2!BB$1, MONTH($L7), DAY($L7)), "y")&lt;=18),
            IF((DATEDIF($L7, DATE(Veri2!BB$1, MONTH($L7), DAY($L7)), "y")+$BW7)&gt;=15, 26, 20),
            IF((DATEDIF($L7, DATE(Veri2!BB$1, MONTH($L7), DAY($L7)), "y")+$BW7)&gt;=15, 26,
                IF((DATEDIF($L7, DATE(Veri2!BB$1, MONTH($L7), DAY($L7)), "y")+$BW7)&gt;5, 20, 14))
        )
    )
), "")</f>
        <v/>
      </c>
      <c r="BU7" s="48" t="str">
        <f ca="1">IFERROR(IF(OR($L7=0, $L7="", DATE(Veri2!BC$1, MONTH($L7), DAY($L7))&lt;=$L7, DATE(Veri2!BC$1, MONTH($L7), DAY($L7))&gt;TODAY()), "",
    IF((DATEDIF($L7, DATE(Veri2!BC$1, MONTH($L7), DAY($L7)), "y")+$BW7)&lt;1, 0,
        IF(OR(DATEDIF($M7, DATE(Veri2!BC$1, MONTH($L7), DAY($L7)), "y")&gt;=50, DATEDIF($M7, DATE(Veri2!BC$1, MONTH($L7), DAY($L7)), "y")&lt;=18),
            IF((DATEDIF($L7, DATE(Veri2!BC$1, MONTH($L7), DAY($L7)), "y")+$BW7)&gt;=15, 26, 20),
            IF((DATEDIF($L7, DATE(Veri2!BC$1, MONTH($L7), DAY($L7)), "y")+$BW7)&gt;=15, 26,
                IF((DATEDIF($L7, DATE(Veri2!BC$1, MONTH($L7), DAY($L7)), "y")+$BW7)&gt;5, 20, 14))
        )
    )
), "")</f>
        <v/>
      </c>
      <c r="BV7" s="48" t="str">
        <f ca="1">IFERROR(IF(OR($L7=0, $L7="", DATE(Veri2!BD$1, MONTH($L7), DAY($L7))&lt;=$L7, DATE(Veri2!BD$1, MONTH($L7), DAY($L7))&gt;TODAY()), "",
    IF((DATEDIF($L7, DATE(Veri2!BD$1, MONTH($L7), DAY($L7)), "y")+$BW7)&lt;1, 0,
        IF(OR(DATEDIF($M7, DATE(Veri2!BD$1, MONTH($L7), DAY($L7)), "y")&gt;=50, DATEDIF($M7, DATE(Veri2!BD$1, MONTH($L7), DAY($L7)), "y")&lt;=18),
            IF((DATEDIF($L7, DATE(Veri2!BD$1, MONTH($L7), DAY($L7)), "y")+$BW7)&gt;=15, 26, 20),
            IF((DATEDIF($L7, DATE(Veri2!BD$1, MONTH($L7), DAY($L7)), "y")+$BW7)&gt;=15, 26,
                IF((DATEDIF($L7, DATE(Veri2!BD$1, MONTH($L7), DAY($L7)), "y")+$BW7)&gt;5, 20, 14))
        )
    )
), "")</f>
        <v/>
      </c>
      <c r="BW7" s="35">
        <v>0</v>
      </c>
    </row>
    <row r="8" spans="7:81" x14ac:dyDescent="0.25">
      <c r="G8" s="38">
        <v>30139753966</v>
      </c>
      <c r="H8" s="118">
        <v>6860</v>
      </c>
      <c r="I8" s="290" t="s">
        <v>233</v>
      </c>
      <c r="J8" s="37">
        <f>Tablo3[[#This Row],[Sicil No]]</f>
        <v>6860</v>
      </c>
      <c r="K8" s="37" t="s">
        <v>212</v>
      </c>
      <c r="L8" s="60">
        <v>45110</v>
      </c>
      <c r="M8" s="60">
        <v>37050</v>
      </c>
      <c r="N8" s="34">
        <f ca="1">IF(Tablo3[[#This Row],[Doğum Tarihi]]="","",YEAR($H$2)-YEAR(Tablo3[[#This Row],[Doğum Tarihi]]))</f>
        <v>25</v>
      </c>
      <c r="O8" s="34">
        <f ca="1">IF(Tablo3[[#This Row],[Doğum Tarihi]]="","",DATEDIF(Tablo3[[#This Row],[İşe Giriş Tarihi]],$H$2,"Y"))</f>
        <v>3</v>
      </c>
      <c r="P8" s="35">
        <f ca="1">SUM(Tablo3[[#This Row],[1995]:[2050]])</f>
        <v>42</v>
      </c>
      <c r="Q8" s="35">
        <f>SUMIF(Tablo25[Sicil No],Tablo3[[#This Row],[Sicil No]],Tablo25[Toplam İzin Günü])</f>
        <v>29.5</v>
      </c>
      <c r="R8" s="36">
        <f ca="1">Tablo3[[#This Row],[Toplam Hakediş]]-Tablo3[[#This Row],[Kullanılan İzin]]</f>
        <v>12.5</v>
      </c>
      <c r="S8" s="26" t="str">
        <f ca="1">IF(AND(INT(DATE(Veri2!A$1,MONTH($L8),DAY($L8))-DATE(YEAR($M8),MONTH($M8),DAY($M8)))/365.25&gt;=50,
IF(OR($I8="",$L8="",Veri2!A$1&lt;=YEAR($L8),Veri2!A$1&gt;YEAR(TODAY())),"",IF(AND(Veri2!A$1-YEAR($L8)&gt;=1,YEAR(TODAY())&lt;&gt;Veri2!A$1),
LOOKUP(VALUE("31"&amp;"."&amp;"12"&amp;"."&amp;Veri2!A$1)-$L8,{365,2190,5476},{14,20,26}),
IF(AND(YEAR(TODAY())=Veri2!A$1,TODAY()-VALUE(DAY($L8)&amp;"."&amp;MONTH($L8)&amp;"."&amp;YEAR(TODAY())-1)&gt;=365),
LOOKUP(VALUE(DAY(TODAY())&amp;"."&amp;MONTH(TODAY())&amp;"."&amp;Veri2!A$1)-$L8,{0,365,2190,5476},{0,14,20,26}),
IF(AND(YEAR(TODAY())=Veri2!A$1,TODAY()-VALUE(DAY($L8)&amp;"."&amp;MONTH($L8)&amp;"."&amp;YEAR(TODAY())-1)&lt;365),""))))=14),
IF(OR($I8="",$L8="",Veri2!A$1&lt;=YEAR($L8),Veri2!A$1&gt;YEAR(TODAY())),"",IF(AND(Veri2!A$1-YEAR($L8)&gt;=1,YEAR(TODAY())&lt;&gt;Veri2!A$1),
LOOKUP(VALUE("31"&amp;"."&amp;"12"&amp;"."&amp;Veri2!A$1)-$L8,{365,2190,5476},{20,20,26}),
IF(AND(YEAR(TODAY())=Veri2!A$1,TODAY()-VALUE(DAY($L8)&amp;"."&amp;MONTH($L8)&amp;"."&amp;YEAR(TODAY())-1)&gt;=365),
LOOKUP(VALUE(DAY(TODAY())&amp;"."&amp;MONTH(TODAY())&amp;"."&amp;Veri2!A$1)-$L8,{0,365,2190,5476},{0,20,20,26}),
IF(AND(YEAR(TODAY())=Veri2!A$1,TODAY()-VALUE(DAY($L8)&amp;"."&amp;MONTH($L8)&amp;"."&amp;YEAR(TODAY())-1)&lt;365),"")))),
IF(OR($I8="",$L8="",Veri2!A$1&lt;=YEAR($L8),Veri2!A$1&gt;YEAR(TODAY())),"",IF(AND(Veri2!A$1-YEAR($L8)&gt;=1,YEAR(TODAY())&lt;&gt;Veri2!A$1),
LOOKUP(VALUE("31"&amp;"."&amp;"12"&amp;"."&amp;Veri2!A$1)-$L8,{365,2190,5476},{14,20,26}),
IF(AND(YEAR(TODAY())=Veri2!A$1,TODAY()-VALUE(DAY($L8)&amp;"."&amp;MONTH($L8)&amp;"."&amp;YEAR(TODAY())-1)&gt;=365),
LOOKUP(VALUE(DAY(TODAY())&amp;"."&amp;MONTH(TODAY())&amp;"."&amp;Veri2!A$1)-$L8,{0,365,2190,5476},{0,14,20,26}),
IF(AND(YEAR(TODAY())=Veri2!A$1,TODAY()-VALUE(DAY($L8)&amp;"."&amp;MONTH($L8)&amp;"."&amp;YEAR(TODAY())-1)&lt;365),"")))))</f>
        <v/>
      </c>
      <c r="T8" s="26" t="str">
        <f ca="1">IF(AND(INT(DATE(Veri2!B$1,MONTH($L8),DAY($L8))-DATE(YEAR($M8),MONTH($M8),DAY($M8)))/365.25&gt;=50,
IF(OR($I8="",$L8="",Veri2!B$1&lt;=YEAR($L8),Veri2!B$1&gt;YEAR(TODAY())),"",IF(AND(Veri2!B$1-YEAR($L8)&gt;=1,YEAR(TODAY())&lt;&gt;Veri2!B$1),
LOOKUP(VALUE("31"&amp;"."&amp;"12"&amp;"."&amp;Veri2!B$1)-$L8,{365,2190,5476},{14,20,26}),
IF(AND(YEAR(TODAY())=Veri2!B$1,TODAY()-VALUE(DAY($L8)&amp;"."&amp;MONTH($L8)&amp;"."&amp;YEAR(TODAY())-1)&gt;=365),
LOOKUP(VALUE(DAY(TODAY())&amp;"."&amp;MONTH(TODAY())&amp;"."&amp;Veri2!B$1)-$L8,{0,365,2190,5476},{0,14,20,26}),
IF(AND(YEAR(TODAY())=Veri2!B$1,TODAY()-VALUE(DAY($L8)&amp;"."&amp;MONTH($L8)&amp;"."&amp;YEAR(TODAY())-1)&lt;365),""))))=14),
IF(OR($I8="",$L8="",Veri2!B$1&lt;=YEAR($L8),Veri2!B$1&gt;YEAR(TODAY())),"",IF(AND(Veri2!B$1-YEAR($L8)&gt;=1,YEAR(TODAY())&lt;&gt;Veri2!B$1),
LOOKUP(VALUE("31"&amp;"."&amp;"12"&amp;"."&amp;Veri2!B$1)-$L8,{365,2190,5476},{20,20,26}),
IF(AND(YEAR(TODAY())=Veri2!B$1,TODAY()-VALUE(DAY($L8)&amp;"."&amp;MONTH($L8)&amp;"."&amp;YEAR(TODAY())-1)&gt;=365),
LOOKUP(VALUE(DAY(TODAY())&amp;"."&amp;MONTH(TODAY())&amp;"."&amp;Veri2!B$1)-$L8,{0,365,2190,5476},{0,20,20,26}),
IF(AND(YEAR(TODAY())=Veri2!B$1,TODAY()-VALUE(DAY($L8)&amp;"."&amp;MONTH($L8)&amp;"."&amp;YEAR(TODAY())-1)&lt;365),"")))),
IF(OR($I8="",$L8="",Veri2!B$1&lt;=YEAR($L8),Veri2!B$1&gt;YEAR(TODAY())),"",IF(AND(Veri2!B$1-YEAR($L8)&gt;=1,YEAR(TODAY())&lt;&gt;Veri2!B$1),
LOOKUP(VALUE("31"&amp;"."&amp;"12"&amp;"."&amp;Veri2!B$1)-$L8,{365,2190,5476},{14,20,26}),
IF(AND(YEAR(TODAY())=Veri2!B$1,TODAY()-VALUE(DAY($L8)&amp;"."&amp;MONTH($L8)&amp;"."&amp;YEAR(TODAY())-1)&gt;=365),
LOOKUP(VALUE(DAY(TODAY())&amp;"."&amp;MONTH(TODAY())&amp;"."&amp;Veri2!B$1)-$L8,{0,365,2190,5476},{0,14,20,26}),
IF(AND(YEAR(TODAY())=Veri2!B$1,TODAY()-VALUE(DAY($L8)&amp;"."&amp;MONTH($L8)&amp;"."&amp;YEAR(TODAY())-1)&lt;365),"")))))</f>
        <v/>
      </c>
      <c r="U8" s="26" t="str">
        <f ca="1">IF(AND(INT(DATE(Veri2!C$1,MONTH($L8),DAY($L8))-DATE(YEAR($M8),MONTH($M8),DAY($M8)))/365.25&gt;=50,
IF(OR($I8="",$L8="",Veri2!C$1&lt;=YEAR($L8),Veri2!C$1&gt;YEAR(TODAY())),"",IF(AND(Veri2!C$1-YEAR($L8)&gt;=1,YEAR(TODAY())&lt;&gt;Veri2!C$1),
LOOKUP(VALUE("31"&amp;"."&amp;"12"&amp;"."&amp;Veri2!C$1)-$L8,{365,2190,5476},{14,20,26}),
IF(AND(YEAR(TODAY())=Veri2!C$1,TODAY()-VALUE(DAY($L8)&amp;"."&amp;MONTH($L8)&amp;"."&amp;YEAR(TODAY())-1)&gt;=365),
LOOKUP(VALUE(DAY(TODAY())&amp;"."&amp;MONTH(TODAY())&amp;"."&amp;Veri2!C$1)-$L8,{0,365,2190,5476},{0,14,20,26}),
IF(AND(YEAR(TODAY())=Veri2!C$1,TODAY()-VALUE(DAY($L8)&amp;"."&amp;MONTH($L8)&amp;"."&amp;YEAR(TODAY())-1)&lt;365),""))))=14),
IF(OR($I8="",$L8="",Veri2!C$1&lt;=YEAR($L8),Veri2!C$1&gt;YEAR(TODAY())),"",IF(AND(Veri2!C$1-YEAR($L8)&gt;=1,YEAR(TODAY())&lt;&gt;Veri2!C$1),
LOOKUP(VALUE("31"&amp;"."&amp;"12"&amp;"."&amp;Veri2!C$1)-$L8,{365,2190,5476},{20,20,26}),
IF(AND(YEAR(TODAY())=Veri2!C$1,TODAY()-VALUE(DAY($L8)&amp;"."&amp;MONTH($L8)&amp;"."&amp;YEAR(TODAY())-1)&gt;=365),
LOOKUP(VALUE(DAY(TODAY())&amp;"."&amp;MONTH(TODAY())&amp;"."&amp;Veri2!C$1)-$L8,{0,365,2190,5476},{0,20,20,26}),
IF(AND(YEAR(TODAY())=Veri2!C$1,TODAY()-VALUE(DAY($L8)&amp;"."&amp;MONTH($L8)&amp;"."&amp;YEAR(TODAY())-1)&lt;365),"")))),
IF(OR($I8="",$L8="",Veri2!C$1&lt;=YEAR($L8),Veri2!C$1&gt;YEAR(TODAY())),"",IF(AND(Veri2!C$1-YEAR($L8)&gt;=1,YEAR(TODAY())&lt;&gt;Veri2!C$1),
LOOKUP(VALUE("31"&amp;"."&amp;"12"&amp;"."&amp;Veri2!C$1)-$L8,{365,2190,5476},{14,20,26}),
IF(AND(YEAR(TODAY())=Veri2!C$1,TODAY()-VALUE(DAY($L8)&amp;"."&amp;MONTH($L8)&amp;"."&amp;YEAR(TODAY())-1)&gt;=365),
LOOKUP(VALUE(DAY(TODAY())&amp;"."&amp;MONTH(TODAY())&amp;"."&amp;Veri2!C$1)-$L8,{0,365,2190,5476},{0,14,20,26}),
IF(AND(YEAR(TODAY())=Veri2!C$1,TODAY()-VALUE(DAY($L8)&amp;"."&amp;MONTH($L8)&amp;"."&amp;YEAR(TODAY())-1)&lt;365),"")))))</f>
        <v/>
      </c>
      <c r="V8" s="26" t="str">
        <f ca="1">IF(AND(INT(DATE(Veri2!D$1,MONTH($L8),DAY($L8))-DATE(YEAR($M8),MONTH($M8),DAY($M8)))/365.25&gt;=50,
IF(OR($I8="",$L8="",Veri2!D$1&lt;=YEAR($L8),Veri2!D$1&gt;YEAR(TODAY())),"",IF(AND(Veri2!D$1-YEAR($L8)&gt;=1,YEAR(TODAY())&lt;&gt;Veri2!D$1),
LOOKUP(VALUE("31"&amp;"."&amp;"12"&amp;"."&amp;Veri2!D$1)-$L8,{365,2190,5476},{14,20,26}),
IF(AND(YEAR(TODAY())=Veri2!D$1,TODAY()-VALUE(DAY($L8)&amp;"."&amp;MONTH($L8)&amp;"."&amp;YEAR(TODAY())-1)&gt;=365),
LOOKUP(VALUE(DAY(TODAY())&amp;"."&amp;MONTH(TODAY())&amp;"."&amp;Veri2!D$1)-$L8,{0,365,2190,5476},{0,14,20,26}),
IF(AND(YEAR(TODAY())=Veri2!D$1,TODAY()-VALUE(DAY($L8)&amp;"."&amp;MONTH($L8)&amp;"."&amp;YEAR(TODAY())-1)&lt;365),""))))=14),
IF(OR($I8="",$L8="",Veri2!D$1&lt;=YEAR($L8),Veri2!D$1&gt;YEAR(TODAY())),"",IF(AND(Veri2!D$1-YEAR($L8)&gt;=1,YEAR(TODAY())&lt;&gt;Veri2!D$1),
LOOKUP(VALUE("31"&amp;"."&amp;"12"&amp;"."&amp;Veri2!D$1)-$L8,{365,2190,5476},{20,20,26}),
IF(AND(YEAR(TODAY())=Veri2!D$1,TODAY()-VALUE(DAY($L8)&amp;"."&amp;MONTH($L8)&amp;"."&amp;YEAR(TODAY())-1)&gt;=365),
LOOKUP(VALUE(DAY(TODAY())&amp;"."&amp;MONTH(TODAY())&amp;"."&amp;Veri2!D$1)-$L8,{0,365,2190,5476},{0,20,20,26}),
IF(AND(YEAR(TODAY())=Veri2!D$1,TODAY()-VALUE(DAY($L8)&amp;"."&amp;MONTH($L8)&amp;"."&amp;YEAR(TODAY())-1)&lt;365),"")))),
IF(OR($I8="",$L8="",Veri2!D$1&lt;=YEAR($L8),Veri2!D$1&gt;YEAR(TODAY())),"",IF(AND(Veri2!D$1-YEAR($L8)&gt;=1,YEAR(TODAY())&lt;&gt;Veri2!D$1),
LOOKUP(VALUE("31"&amp;"."&amp;"12"&amp;"."&amp;Veri2!D$1)-$L8,{365,2190,5476},{14,20,26}),
IF(AND(YEAR(TODAY())=Veri2!D$1,TODAY()-VALUE(DAY($L8)&amp;"."&amp;MONTH($L8)&amp;"."&amp;YEAR(TODAY())-1)&gt;=365),
LOOKUP(VALUE(DAY(TODAY())&amp;"."&amp;MONTH(TODAY())&amp;"."&amp;Veri2!D$1)-$L8,{0,365,2190,5476},{0,14,20,26}),
IF(AND(YEAR(TODAY())=Veri2!D$1,TODAY()-VALUE(DAY($L8)&amp;"."&amp;MONTH($L8)&amp;"."&amp;YEAR(TODAY())-1)&lt;365),"")))))</f>
        <v/>
      </c>
      <c r="W8" s="26" t="str">
        <f ca="1">IF(AND(INT(DATE(Veri2!E$1,MONTH($L8),DAY($L8))-DATE(YEAR($M8),MONTH($M8),DAY($M8)))/365.25&gt;=50,
IF(OR($I8="",$L8="",Veri2!E$1&lt;=YEAR($L8),Veri2!E$1&gt;YEAR(TODAY())),"",IF(AND(Veri2!E$1-YEAR($L8)&gt;=1,YEAR(TODAY())&lt;&gt;Veri2!E$1),
LOOKUP(VALUE("31"&amp;"."&amp;"12"&amp;"."&amp;Veri2!E$1)-$L8,{365,2190,5476},{14,20,26}),
IF(AND(YEAR(TODAY())=Veri2!E$1,TODAY()-VALUE(DAY($L8)&amp;"."&amp;MONTH($L8)&amp;"."&amp;YEAR(TODAY())-1)&gt;=365),
LOOKUP(VALUE(DAY(TODAY())&amp;"."&amp;MONTH(TODAY())&amp;"."&amp;Veri2!E$1)-$L8,{0,365,2190,5476},{0,14,20,26}),
IF(AND(YEAR(TODAY())=Veri2!E$1,TODAY()-VALUE(DAY($L8)&amp;"."&amp;MONTH($L8)&amp;"."&amp;YEAR(TODAY())-1)&lt;365),""))))=14),
IF(OR($I8="",$L8="",Veri2!E$1&lt;=YEAR($L8),Veri2!E$1&gt;YEAR(TODAY())),"",IF(AND(Veri2!E$1-YEAR($L8)&gt;=1,YEAR(TODAY())&lt;&gt;Veri2!E$1),
LOOKUP(VALUE("31"&amp;"."&amp;"12"&amp;"."&amp;Veri2!E$1)-$L8,{365,2190,5476},{20,20,26}),
IF(AND(YEAR(TODAY())=Veri2!E$1,TODAY()-VALUE(DAY($L8)&amp;"."&amp;MONTH($L8)&amp;"."&amp;YEAR(TODAY())-1)&gt;=365),
LOOKUP(VALUE(DAY(TODAY())&amp;"."&amp;MONTH(TODAY())&amp;"."&amp;Veri2!E$1)-$L8,{0,365,2190,5476},{0,20,20,26}),
IF(AND(YEAR(TODAY())=Veri2!E$1,TODAY()-VALUE(DAY($L8)&amp;"."&amp;MONTH($L8)&amp;"."&amp;YEAR(TODAY())-1)&lt;365),"")))),
IF(OR($I8="",$L8="",Veri2!E$1&lt;=YEAR($L8),Veri2!E$1&gt;YEAR(TODAY())),"",IF(AND(Veri2!E$1-YEAR($L8)&gt;=1,YEAR(TODAY())&lt;&gt;Veri2!E$1),
LOOKUP(VALUE("31"&amp;"."&amp;"12"&amp;"."&amp;Veri2!E$1)-$L8,{365,2190,5476},{14,20,26}),
IF(AND(YEAR(TODAY())=Veri2!E$1,TODAY()-VALUE(DAY($L8)&amp;"."&amp;MONTH($L8)&amp;"."&amp;YEAR(TODAY())-1)&gt;=365),
LOOKUP(VALUE(DAY(TODAY())&amp;"."&amp;MONTH(TODAY())&amp;"."&amp;Veri2!E$1)-$L8,{0,365,2190,5476},{0,14,20,26}),
IF(AND(YEAR(TODAY())=Veri2!E$1,TODAY()-VALUE(DAY($L8)&amp;"."&amp;MONTH($L8)&amp;"."&amp;YEAR(TODAY())-1)&lt;365),"")))))</f>
        <v/>
      </c>
      <c r="X8" s="26" t="str">
        <f ca="1">IF(AND(INT(DATE(Veri2!F$1,MONTH($L8),DAY($L8))-DATE(YEAR($M8),MONTH($M8),DAY($M8)))/365.25&gt;=50,
IF(OR($I8="",$L8="",Veri2!F$1&lt;=YEAR($L8),Veri2!F$1&gt;YEAR(TODAY())),"",IF(AND(Veri2!F$1-YEAR($L8)&gt;=1,YEAR(TODAY())&lt;&gt;Veri2!F$1),
LOOKUP(VALUE("31"&amp;"."&amp;"12"&amp;"."&amp;Veri2!F$1)-$L8,{365,2190,5476},{14,20,26}),
IF(AND(YEAR(TODAY())=Veri2!F$1,TODAY()-VALUE(DAY($L8)&amp;"."&amp;MONTH($L8)&amp;"."&amp;YEAR(TODAY())-1)&gt;=365),
LOOKUP(VALUE(DAY(TODAY())&amp;"."&amp;MONTH(TODAY())&amp;"."&amp;Veri2!F$1)-$L8,{0,365,2190,5476},{0,14,20,26}),
IF(AND(YEAR(TODAY())=Veri2!F$1,TODAY()-VALUE(DAY($L8)&amp;"."&amp;MONTH($L8)&amp;"."&amp;YEAR(TODAY())-1)&lt;365),""))))=14),
IF(OR($I8="",$L8="",Veri2!F$1&lt;=YEAR($L8),Veri2!F$1&gt;YEAR(TODAY())),"",IF(AND(Veri2!F$1-YEAR($L8)&gt;=1,YEAR(TODAY())&lt;&gt;Veri2!F$1),
LOOKUP(VALUE("31"&amp;"."&amp;"12"&amp;"."&amp;Veri2!F$1)-$L8,{365,2190,5476},{20,20,26}),
IF(AND(YEAR(TODAY())=Veri2!F$1,TODAY()-VALUE(DAY($L8)&amp;"."&amp;MONTH($L8)&amp;"."&amp;YEAR(TODAY())-1)&gt;=365),
LOOKUP(VALUE(DAY(TODAY())&amp;"."&amp;MONTH(TODAY())&amp;"."&amp;Veri2!F$1)-$L8,{0,365,2190,5476},{0,20,20,26}),
IF(AND(YEAR(TODAY())=Veri2!F$1,TODAY()-VALUE(DAY($L8)&amp;"."&amp;MONTH($L8)&amp;"."&amp;YEAR(TODAY())-1)&lt;365),"")))),
IF(OR($I8="",$L8="",Veri2!F$1&lt;=YEAR($L8),Veri2!F$1&gt;YEAR(TODAY())),"",IF(AND(Veri2!F$1-YEAR($L8)&gt;=1,YEAR(TODAY())&lt;&gt;Veri2!F$1),
LOOKUP(VALUE("31"&amp;"."&amp;"12"&amp;"."&amp;Veri2!F$1)-$L8,{365,2190,5476},{14,20,26}),
IF(AND(YEAR(TODAY())=Veri2!F$1,TODAY()-VALUE(DAY($L8)&amp;"."&amp;MONTH($L8)&amp;"."&amp;YEAR(TODAY())-1)&gt;=365),
LOOKUP(VALUE(DAY(TODAY())&amp;"."&amp;MONTH(TODAY())&amp;"."&amp;Veri2!F$1)-$L8,{0,365,2190,5476},{0,14,20,26}),
IF(AND(YEAR(TODAY())=Veri2!F$1,TODAY()-VALUE(DAY($L8)&amp;"."&amp;MONTH($L8)&amp;"."&amp;YEAR(TODAY())-1)&lt;365),"")))))</f>
        <v/>
      </c>
      <c r="Y8" s="26" t="str">
        <f ca="1">IF(AND(INT(DATE(Veri2!G$1,MONTH($L8),DAY($L8))-DATE(YEAR($M8),MONTH($M8),DAY($M8)))/365.25&gt;=50,
IF(OR($I8="",$L8="",Veri2!G$1&lt;=YEAR($L8),Veri2!G$1&gt;YEAR(TODAY())),"",IF(AND(Veri2!G$1-YEAR($L8)&gt;=1,YEAR(TODAY())&lt;&gt;Veri2!G$1),
LOOKUP(VALUE("31"&amp;"."&amp;"12"&amp;"."&amp;Veri2!G$1)-$L8,{365,2190,5476},{14,20,26}),
IF(AND(YEAR(TODAY())=Veri2!G$1,TODAY()-VALUE(DAY($L8)&amp;"."&amp;MONTH($L8)&amp;"."&amp;YEAR(TODAY())-1)&gt;=365),
LOOKUP(VALUE(DAY(TODAY())&amp;"."&amp;MONTH(TODAY())&amp;"."&amp;Veri2!G$1)-$L8,{0,365,2190,5476},{0,14,20,26}),
IF(AND(YEAR(TODAY())=Veri2!G$1,TODAY()-VALUE(DAY($L8)&amp;"."&amp;MONTH($L8)&amp;"."&amp;YEAR(TODAY())-1)&lt;365),""))))=14),
IF(OR($I8="",$L8="",Veri2!G$1&lt;=YEAR($L8),Veri2!G$1&gt;YEAR(TODAY())),"",IF(AND(Veri2!G$1-YEAR($L8)&gt;=1,YEAR(TODAY())&lt;&gt;Veri2!G$1),
LOOKUP(VALUE("31"&amp;"."&amp;"12"&amp;"."&amp;Veri2!G$1)-$L8,{365,2190,5476},{20,20,26}),
IF(AND(YEAR(TODAY())=Veri2!G$1,TODAY()-VALUE(DAY($L8)&amp;"."&amp;MONTH($L8)&amp;"."&amp;YEAR(TODAY())-1)&gt;=365),
LOOKUP(VALUE(DAY(TODAY())&amp;"."&amp;MONTH(TODAY())&amp;"."&amp;Veri2!G$1)-$L8,{0,365,2190,5476},{0,20,20,26}),
IF(AND(YEAR(TODAY())=Veri2!G$1,TODAY()-VALUE(DAY($L8)&amp;"."&amp;MONTH($L8)&amp;"."&amp;YEAR(TODAY())-1)&lt;365),"")))),
IF(OR($I8="",$L8="",Veri2!G$1&lt;=YEAR($L8),Veri2!G$1&gt;YEAR(TODAY())),"",IF(AND(Veri2!G$1-YEAR($L8)&gt;=1,YEAR(TODAY())&lt;&gt;Veri2!G$1),
LOOKUP(VALUE("31"&amp;"."&amp;"12"&amp;"."&amp;Veri2!G$1)-$L8,{365,2190,5476},{14,20,26}),
IF(AND(YEAR(TODAY())=Veri2!G$1,TODAY()-VALUE(DAY($L8)&amp;"."&amp;MONTH($L8)&amp;"."&amp;YEAR(TODAY())-1)&gt;=365),
LOOKUP(VALUE(DAY(TODAY())&amp;"."&amp;MONTH(TODAY())&amp;"."&amp;Veri2!G$1)-$L8,{0,365,2190,5476},{0,14,20,26}),
IF(AND(YEAR(TODAY())=Veri2!G$1,TODAY()-VALUE(DAY($L8)&amp;"."&amp;MONTH($L8)&amp;"."&amp;YEAR(TODAY())-1)&lt;365),"")))))</f>
        <v/>
      </c>
      <c r="Z8" s="26" t="str">
        <f ca="1">IF(AND(INT(DATE(Veri2!H$1,MONTH($L8),DAY($L8))-DATE(YEAR($M8),MONTH($M8),DAY($M8)))/365.25&gt;=50,
IF(OR($I8="",$L8="",Veri2!H$1&lt;=YEAR($L8),Veri2!H$1&gt;YEAR(TODAY())),"",IF(AND(Veri2!H$1-YEAR($L8)&gt;=1,YEAR(TODAY())&lt;&gt;Veri2!H$1),
LOOKUP(VALUE("31"&amp;"."&amp;"12"&amp;"."&amp;Veri2!H$1)-$L8,{365,2190,5476},{14,20,26}),
IF(AND(YEAR(TODAY())=Veri2!H$1,TODAY()-VALUE(DAY($L8)&amp;"."&amp;MONTH($L8)&amp;"."&amp;YEAR(TODAY())-1)&gt;=365),
LOOKUP(VALUE(DAY(TODAY())&amp;"."&amp;MONTH(TODAY())&amp;"."&amp;Veri2!H$1)-$L8,{0,365,2190,5476},{0,14,20,26}),
IF(AND(YEAR(TODAY())=Veri2!H$1,TODAY()-VALUE(DAY($L8)&amp;"."&amp;MONTH($L8)&amp;"."&amp;YEAR(TODAY())-1)&lt;365),""))))=14),
IF(OR($I8="",$L8="",Veri2!H$1&lt;=YEAR($L8),Veri2!H$1&gt;YEAR(TODAY())),"",IF(AND(Veri2!H$1-YEAR($L8)&gt;=1,YEAR(TODAY())&lt;&gt;Veri2!H$1),
LOOKUP(VALUE("31"&amp;"."&amp;"12"&amp;"."&amp;Veri2!H$1)-$L8,{365,2190,5476},{20,20,26}),
IF(AND(YEAR(TODAY())=Veri2!H$1,TODAY()-VALUE(DAY($L8)&amp;"."&amp;MONTH($L8)&amp;"."&amp;YEAR(TODAY())-1)&gt;=365),
LOOKUP(VALUE(DAY(TODAY())&amp;"."&amp;MONTH(TODAY())&amp;"."&amp;Veri2!H$1)-$L8,{0,365,2190,5476},{0,20,20,26}),
IF(AND(YEAR(TODAY())=Veri2!H$1,TODAY()-VALUE(DAY($L8)&amp;"."&amp;MONTH($L8)&amp;"."&amp;YEAR(TODAY())-1)&lt;365),"")))),
IF(OR($I8="",$L8="",Veri2!H$1&lt;=YEAR($L8),Veri2!H$1&gt;YEAR(TODAY())),"",IF(AND(Veri2!H$1-YEAR($L8)&gt;=1,YEAR(TODAY())&lt;&gt;Veri2!H$1),
LOOKUP(VALUE("31"&amp;"."&amp;"12"&amp;"."&amp;Veri2!H$1)-$L8,{365,2190,5476},{14,20,26}),
IF(AND(YEAR(TODAY())=Veri2!H$1,TODAY()-VALUE(DAY($L8)&amp;"."&amp;MONTH($L8)&amp;"."&amp;YEAR(TODAY())-1)&gt;=365),
LOOKUP(VALUE(DAY(TODAY())&amp;"."&amp;MONTH(TODAY())&amp;"."&amp;Veri2!H$1)-$L8,{0,365,2190,5476},{0,14,20,26}),
IF(AND(YEAR(TODAY())=Veri2!H$1,TODAY()-VALUE(DAY($L8)&amp;"."&amp;MONTH($L8)&amp;"."&amp;YEAR(TODAY())-1)&lt;365),"")))))</f>
        <v/>
      </c>
      <c r="AA8" s="26" t="str">
        <f ca="1">IF(AND(INT(DATE(Veri2!I$1,MONTH($L8),DAY($L8))-DATE(YEAR($M8),MONTH($M8),DAY($M8)))/365.25&gt;=50,
IF(OR($I8="",$L8="",Veri2!I$1&lt;=YEAR($L8),Veri2!I$1&gt;YEAR(TODAY())),"",IF(AND(Veri2!I$1-YEAR($L8)&gt;=1,YEAR(TODAY())&lt;&gt;Veri2!I$1),
LOOKUP(VALUE("31"&amp;"."&amp;"12"&amp;"."&amp;Veri2!I$1)-$L8,{365,2190,5476},{14,20,26}),
IF(AND(YEAR(TODAY())=Veri2!I$1,TODAY()-VALUE(DAY($L8)&amp;"."&amp;MONTH($L8)&amp;"."&amp;YEAR(TODAY())-1)&gt;=365),
LOOKUP(VALUE(DAY(TODAY())&amp;"."&amp;MONTH(TODAY())&amp;"."&amp;Veri2!I$1)-$L8,{0,365,2190,5476},{0,14,20,26}),
IF(AND(YEAR(TODAY())=Veri2!I$1,TODAY()-VALUE(DAY($L8)&amp;"."&amp;MONTH($L8)&amp;"."&amp;YEAR(TODAY())-1)&lt;365),""))))=14),
IF(OR($I8="",$L8="",Veri2!I$1&lt;=YEAR($L8),Veri2!I$1&gt;YEAR(TODAY())),"",IF(AND(Veri2!I$1-YEAR($L8)&gt;=1,YEAR(TODAY())&lt;&gt;Veri2!I$1),
LOOKUP(VALUE("31"&amp;"."&amp;"12"&amp;"."&amp;Veri2!I$1)-$L8,{365,2190,5476},{20,20,26}),
IF(AND(YEAR(TODAY())=Veri2!I$1,TODAY()-VALUE(DAY($L8)&amp;"."&amp;MONTH($L8)&amp;"."&amp;YEAR(TODAY())-1)&gt;=365),
LOOKUP(VALUE(DAY(TODAY())&amp;"."&amp;MONTH(TODAY())&amp;"."&amp;Veri2!I$1)-$L8,{0,365,2190,5476},{0,20,20,26}),
IF(AND(YEAR(TODAY())=Veri2!I$1,TODAY()-VALUE(DAY($L8)&amp;"."&amp;MONTH($L8)&amp;"."&amp;YEAR(TODAY())-1)&lt;365),"")))),
IF(OR($I8="",$L8="",Veri2!I$1&lt;=YEAR($L8),Veri2!I$1&gt;YEAR(TODAY())),"",IF(AND(Veri2!I$1-YEAR($L8)&gt;=1,YEAR(TODAY())&lt;&gt;Veri2!I$1),
LOOKUP(VALUE("31"&amp;"."&amp;"12"&amp;"."&amp;Veri2!I$1)-$L8,{365,2190,5476},{14,20,26}),
IF(AND(YEAR(TODAY())=Veri2!I$1,TODAY()-VALUE(DAY($L8)&amp;"."&amp;MONTH($L8)&amp;"."&amp;YEAR(TODAY())-1)&gt;=365),
LOOKUP(VALUE(DAY(TODAY())&amp;"."&amp;MONTH(TODAY())&amp;"."&amp;Veri2!I$1)-$L8,{0,365,2190,5476},{0,14,20,26}),
IF(AND(YEAR(TODAY())=Veri2!I$1,TODAY()-VALUE(DAY($L8)&amp;"."&amp;MONTH($L8)&amp;"."&amp;YEAR(TODAY())-1)&lt;365),"")))))</f>
        <v/>
      </c>
      <c r="AB8" s="48" t="str">
        <f ca="1">IF(AND(INT(DATE(Veri2!J$1,MONTH($L8),DAY($L8))-DATE(YEAR($M8),MONTH($M8),DAY($M8)))/365.25&gt;=50,
IF(OR($I8="",$L8="",Veri2!J$1&lt;=YEAR($L8),Veri2!J$1&gt;YEAR(TODAY())),"",IF(AND(Veri2!J$1-YEAR($L8)&gt;=1,YEAR(TODAY())&lt;&gt;Veri2!J$1),
LOOKUP(VALUE("31"&amp;"."&amp;"12"&amp;"."&amp;Veri2!J$1)-$L8,{365,2190,5476},{14,20,26}),
IF(AND(YEAR(TODAY())=Veri2!J$1,TODAY()-VALUE(DAY($L8)&amp;"."&amp;MONTH($L8)&amp;"."&amp;YEAR(TODAY())-1)&gt;=365),
LOOKUP(VALUE(DAY(TODAY())&amp;"."&amp;MONTH(TODAY())&amp;"."&amp;Veri2!J$1)-$L8,{0,365,2190,5476},{0,14,20,26}),
IF(AND(YEAR(TODAY())=Veri2!J$1,TODAY()-VALUE(DAY($L8)&amp;"."&amp;MONTH($L8)&amp;"."&amp;YEAR(TODAY())-1)&lt;365),""))))=14),
IF(OR($I8="",$L8="",Veri2!J$1&lt;=YEAR($L8),Veri2!J$1&gt;YEAR(TODAY())),"",IF(AND(Veri2!J$1-YEAR($L8)&gt;=1,YEAR(TODAY())&lt;&gt;Veri2!J$1),
LOOKUP(VALUE("31"&amp;"."&amp;"12"&amp;"."&amp;Veri2!J$1)-$L8,{365,2190,5476},{20,20,26}),
IF(AND(YEAR(TODAY())=Veri2!J$1,TODAY()-VALUE(DAY($L8)&amp;"."&amp;MONTH($L8)&amp;"."&amp;YEAR(TODAY())-1)&gt;=365),
LOOKUP(VALUE(DAY(TODAY())&amp;"."&amp;MONTH(TODAY())&amp;"."&amp;Veri2!J$1)-$L8,{0,365,2190,5476},{0,20,20,26}),
IF(AND(YEAR(TODAY())=Veri2!J$1,TODAY()-VALUE(DAY($L8)&amp;"."&amp;MONTH($L8)&amp;"."&amp;YEAR(TODAY())-1)&lt;365),"")))),
IF(OR($I8="",$L8="",Veri2!J$1&lt;=YEAR($L8),Veri2!J$1&gt;YEAR(TODAY())),"",IF(AND(Veri2!J$1-YEAR($L8)&gt;=1,YEAR(TODAY())&lt;&gt;Veri2!J$1),
LOOKUP(VALUE("31"&amp;"."&amp;"12"&amp;"."&amp;Veri2!J$1)-$L8,{365,2190,5476},{14,20,26}),
IF(AND(YEAR(TODAY())=Veri2!J$1,TODAY()-VALUE(DAY($L8)&amp;"."&amp;MONTH($L8)&amp;"."&amp;YEAR(TODAY())-1)&gt;=365),
LOOKUP(VALUE(DAY(TODAY())&amp;"."&amp;MONTH(TODAY())&amp;"."&amp;Veri2!J$1)-$L8,{0,365,2190,5476},{0,14,20,26}),
IF(AND(YEAR(TODAY())=Veri2!J$1,TODAY()-VALUE(DAY($L8)&amp;"."&amp;MONTH($L8)&amp;"."&amp;YEAR(TODAY())-1)&lt;365),"")))))</f>
        <v/>
      </c>
      <c r="AC8" s="48" t="str">
        <f ca="1">IF(AND(INT(DATE(Veri2!K$1,MONTH($L8),DAY($L8))-DATE(YEAR($M8),MONTH($M8),DAY($M8)))/365.25&gt;=50,
IF(OR($I8="",$L8="",Veri2!K$1&lt;=YEAR($L8),Veri2!K$1&gt;YEAR(TODAY())),"",IF(AND(Veri2!K$1-YEAR($L8)&gt;=1,YEAR(TODAY())&lt;&gt;Veri2!K$1),
LOOKUP(VALUE("31"&amp;"."&amp;"12"&amp;"."&amp;Veri2!K$1)-$L8,{365,2190,5476},{14,20,26}),
IF(AND(YEAR(TODAY())=Veri2!K$1,TODAY()-VALUE(DAY($L8)&amp;"."&amp;MONTH($L8)&amp;"."&amp;YEAR(TODAY())-1)&gt;=365),
LOOKUP(VALUE(DAY(TODAY())&amp;"."&amp;MONTH(TODAY())&amp;"."&amp;Veri2!K$1)-$L8,{0,365,2190,5476},{0,14,20,26}),
IF(AND(YEAR(TODAY())=Veri2!K$1,TODAY()-VALUE(DAY($L8)&amp;"."&amp;MONTH($L8)&amp;"."&amp;YEAR(TODAY())-1)&lt;365),""))))=14),
IF(OR($I8="",$L8="",Veri2!K$1&lt;=YEAR($L8),Veri2!K$1&gt;YEAR(TODAY())),"",IF(AND(Veri2!K$1-YEAR($L8)&gt;=1,YEAR(TODAY())&lt;&gt;Veri2!K$1),
LOOKUP(VALUE("31"&amp;"."&amp;"12"&amp;"."&amp;Veri2!K$1)-$L8,{365,2190,5476},{20,20,26}),
IF(AND(YEAR(TODAY())=Veri2!K$1,TODAY()-VALUE(DAY($L8)&amp;"."&amp;MONTH($L8)&amp;"."&amp;YEAR(TODAY())-1)&gt;=365),
LOOKUP(VALUE(DAY(TODAY())&amp;"."&amp;MONTH(TODAY())&amp;"."&amp;Veri2!K$1)-$L8,{0,365,2190,5476},{0,20,20,26}),
IF(AND(YEAR(TODAY())=Veri2!K$1,TODAY()-VALUE(DAY($L8)&amp;"."&amp;MONTH($L8)&amp;"."&amp;YEAR(TODAY())-1)&lt;365),"")))),
IF(OR($I8="",$L8="",Veri2!K$1&lt;=YEAR($L8),Veri2!K$1&gt;YEAR(TODAY())),"",IF(AND(Veri2!K$1-YEAR($L8)&gt;=1,YEAR(TODAY())&lt;&gt;Veri2!K$1),
LOOKUP(VALUE("31"&amp;"."&amp;"12"&amp;"."&amp;Veri2!K$1)-$L8,{365,2190,5476},{14,20,26}),
IF(AND(YEAR(TODAY())=Veri2!K$1,TODAY()-VALUE(DAY($L8)&amp;"."&amp;MONTH($L8)&amp;"."&amp;YEAR(TODAY())-1)&gt;=365),
LOOKUP(VALUE(DAY(TODAY())&amp;"."&amp;MONTH(TODAY())&amp;"."&amp;Veri2!K$1)-$L8,{0,365,2190,5476},{0,14,20,26}),
IF(AND(YEAR(TODAY())=Veri2!K$1,TODAY()-VALUE(DAY($L8)&amp;"."&amp;MONTH($L8)&amp;"."&amp;YEAR(TODAY())-1)&lt;365),"")))))</f>
        <v/>
      </c>
      <c r="AD8" s="48" t="str">
        <f ca="1">IF(AND(INT(DATE(Veri2!L$1,MONTH($L8),DAY($L8))-DATE(YEAR($M8),MONTH($M8),DAY($M8)))/365.25&gt;=50,
IF(OR($I8="",$L8="",Veri2!L$1&lt;=YEAR($L8),Veri2!L$1&gt;YEAR(TODAY())),"",IF(AND(Veri2!L$1-YEAR($L8)&gt;=1,YEAR(TODAY())&lt;&gt;Veri2!L$1),
LOOKUP(VALUE("31"&amp;"."&amp;"12"&amp;"."&amp;Veri2!L$1)-$L8,{365,2190,5476},{14,20,26}),
IF(AND(YEAR(TODAY())=Veri2!L$1,TODAY()-VALUE(DAY($L8)&amp;"."&amp;MONTH($L8)&amp;"."&amp;YEAR(TODAY())-1)&gt;=365),
LOOKUP(VALUE(DAY(TODAY())&amp;"."&amp;MONTH(TODAY())&amp;"."&amp;Veri2!L$1)-$L8,{0,365,2190,5476},{0,14,20,26}),
IF(AND(YEAR(TODAY())=Veri2!L$1,TODAY()-VALUE(DAY($L8)&amp;"."&amp;MONTH($L8)&amp;"."&amp;YEAR(TODAY())-1)&lt;365),""))))=14),
IF(OR($I8="",$L8="",Veri2!L$1&lt;=YEAR($L8),Veri2!L$1&gt;YEAR(TODAY())),"",IF(AND(Veri2!L$1-YEAR($L8)&gt;=1,YEAR(TODAY())&lt;&gt;Veri2!L$1),
LOOKUP(VALUE("31"&amp;"."&amp;"12"&amp;"."&amp;Veri2!L$1)-$L8,{365,2190,5476},{20,20,26}),
IF(AND(YEAR(TODAY())=Veri2!L$1,TODAY()-VALUE(DAY($L8)&amp;"."&amp;MONTH($L8)&amp;"."&amp;YEAR(TODAY())-1)&gt;=365),
LOOKUP(VALUE(DAY(TODAY())&amp;"."&amp;MONTH(TODAY())&amp;"."&amp;Veri2!L$1)-$L8,{0,365,2190,5476},{0,20,20,26}),
IF(AND(YEAR(TODAY())=Veri2!L$1,TODAY()-VALUE(DAY($L8)&amp;"."&amp;MONTH($L8)&amp;"."&amp;YEAR(TODAY())-1)&lt;365),"")))),
IF(OR($I8="",$L8="",Veri2!L$1&lt;=YEAR($L8),Veri2!L$1&gt;YEAR(TODAY())),"",IF(AND(Veri2!L$1-YEAR($L8)&gt;=1,YEAR(TODAY())&lt;&gt;Veri2!L$1),
LOOKUP(VALUE("31"&amp;"."&amp;"12"&amp;"."&amp;Veri2!L$1)-$L8,{365,2190,5476},{14,20,26}),
IF(AND(YEAR(TODAY())=Veri2!L$1,TODAY()-VALUE(DAY($L8)&amp;"."&amp;MONTH($L8)&amp;"."&amp;YEAR(TODAY())-1)&gt;=365),
LOOKUP(VALUE(DAY(TODAY())&amp;"."&amp;MONTH(TODAY())&amp;"."&amp;Veri2!L$1)-$L8,{0,365,2190,5476},{0,14,20,26}),
IF(AND(YEAR(TODAY())=Veri2!L$1,TODAY()-VALUE(DAY($L8)&amp;"."&amp;MONTH($L8)&amp;"."&amp;YEAR(TODAY())-1)&lt;365),"")))))</f>
        <v/>
      </c>
      <c r="AE8" s="48" t="str">
        <f ca="1">IF(AND(INT(DATE(Veri2!M$1,MONTH($L8),DAY($L8))-DATE(YEAR($M8),MONTH($M8),DAY($M8)))/365.25&gt;=50,
IF(OR($I8="",$L8="",Veri2!M$1&lt;=YEAR($L8),Veri2!M$1&gt;YEAR(TODAY())),"",IF(AND(Veri2!M$1-YEAR($L8)&gt;=1,YEAR(TODAY())&lt;&gt;Veri2!M$1),
LOOKUP(VALUE("31"&amp;"."&amp;"12"&amp;"."&amp;Veri2!M$1)-$L8,{365,2190,5476},{14,20,26}),
IF(AND(YEAR(TODAY())=Veri2!M$1,TODAY()-VALUE(DAY($L8)&amp;"."&amp;MONTH($L8)&amp;"."&amp;YEAR(TODAY())-1)&gt;=365),
LOOKUP(VALUE(DAY(TODAY())&amp;"."&amp;MONTH(TODAY())&amp;"."&amp;Veri2!M$1)-$L8,{0,365,2190,5476},{0,14,20,26}),
IF(AND(YEAR(TODAY())=Veri2!M$1,TODAY()-VALUE(DAY($L8)&amp;"."&amp;MONTH($L8)&amp;"."&amp;YEAR(TODAY())-1)&lt;365),""))))=14),
IF(OR($I8="",$L8="",Veri2!M$1&lt;=YEAR($L8),Veri2!M$1&gt;YEAR(TODAY())),"",IF(AND(Veri2!M$1-YEAR($L8)&gt;=1,YEAR(TODAY())&lt;&gt;Veri2!M$1),
LOOKUP(VALUE("31"&amp;"."&amp;"12"&amp;"."&amp;Veri2!M$1)-$L8,{365,2190,5476},{20,20,26}),
IF(AND(YEAR(TODAY())=Veri2!M$1,TODAY()-VALUE(DAY($L8)&amp;"."&amp;MONTH($L8)&amp;"."&amp;YEAR(TODAY())-1)&gt;=365),
LOOKUP(VALUE(DAY(TODAY())&amp;"."&amp;MONTH(TODAY())&amp;"."&amp;Veri2!M$1)-$L8,{0,365,2190,5476},{0,20,20,26}),
IF(AND(YEAR(TODAY())=Veri2!M$1,TODAY()-VALUE(DAY($L8)&amp;"."&amp;MONTH($L8)&amp;"."&amp;YEAR(TODAY())-1)&lt;365),"")))),
IF(OR($I8="",$L8="",Veri2!M$1&lt;=YEAR($L8),Veri2!M$1&gt;YEAR(TODAY())),"",IF(AND(Veri2!M$1-YEAR($L8)&gt;=1,YEAR(TODAY())&lt;&gt;Veri2!M$1),
LOOKUP(VALUE("31"&amp;"."&amp;"12"&amp;"."&amp;Veri2!M$1)-$L8,{365,2190,5476},{14,20,26}),
IF(AND(YEAR(TODAY())=Veri2!M$1,TODAY()-VALUE(DAY($L8)&amp;"."&amp;MONTH($L8)&amp;"."&amp;YEAR(TODAY())-1)&gt;=365),
LOOKUP(VALUE(DAY(TODAY())&amp;"."&amp;MONTH(TODAY())&amp;"."&amp;Veri2!M$1)-$L8,{0,365,2190,5476},{0,14,20,26}),
IF(AND(YEAR(TODAY())=Veri2!M$1,TODAY()-VALUE(DAY($L8)&amp;"."&amp;MONTH($L8)&amp;"."&amp;YEAR(TODAY())-1)&lt;365),"")))))</f>
        <v/>
      </c>
      <c r="AF8" s="48" t="str">
        <f ca="1">IF(AND(INT(DATE(Veri2!N$1,MONTH($L8),DAY($L8))-DATE(YEAR($M8),MONTH($M8),DAY($M8)))/365.25&gt;=50,
IF(OR($I8="",$L8="",Veri2!N$1&lt;=YEAR($L8),Veri2!N$1&gt;YEAR(TODAY())),"",IF(AND(Veri2!N$1-YEAR($L8)&gt;=1,YEAR(TODAY())&lt;&gt;Veri2!N$1),
LOOKUP(VALUE("31"&amp;"."&amp;"12"&amp;"."&amp;Veri2!N$1)-$L8,{365,2190,5476},{14,20,26}),
IF(AND(YEAR(TODAY())=Veri2!N$1,TODAY()-VALUE(DAY($L8)&amp;"."&amp;MONTH($L8)&amp;"."&amp;YEAR(TODAY())-1)&gt;=365),
LOOKUP(VALUE(DAY(TODAY())&amp;"."&amp;MONTH(TODAY())&amp;"."&amp;Veri2!N$1)-$L8,{0,365,2190,5476},{0,14,20,26}),
IF(AND(YEAR(TODAY())=Veri2!N$1,TODAY()-VALUE(DAY($L8)&amp;"."&amp;MONTH($L8)&amp;"."&amp;YEAR(TODAY())-1)&lt;365),""))))=14),
IF(OR($I8="",$L8="",Veri2!N$1&lt;=YEAR($L8),Veri2!N$1&gt;YEAR(TODAY())),"",IF(AND(Veri2!N$1-YEAR($L8)&gt;=1,YEAR(TODAY())&lt;&gt;Veri2!N$1),
LOOKUP(VALUE("31"&amp;"."&amp;"12"&amp;"."&amp;Veri2!N$1)-$L8,{365,2190,5476},{20,20,26}),
IF(AND(YEAR(TODAY())=Veri2!N$1,TODAY()-VALUE(DAY($L8)&amp;"."&amp;MONTH($L8)&amp;"."&amp;YEAR(TODAY())-1)&gt;=365),
LOOKUP(VALUE(DAY(TODAY())&amp;"."&amp;MONTH(TODAY())&amp;"."&amp;Veri2!N$1)-$L8,{0,365,2190,5476},{0,20,20,26}),
IF(AND(YEAR(TODAY())=Veri2!N$1,TODAY()-VALUE(DAY($L8)&amp;"."&amp;MONTH($L8)&amp;"."&amp;YEAR(TODAY())-1)&lt;365),"")))),
IF(OR($I8="",$L8="",Veri2!N$1&lt;=YEAR($L8),Veri2!N$1&gt;YEAR(TODAY())),"",IF(AND(Veri2!N$1-YEAR($L8)&gt;=1,YEAR(TODAY())&lt;&gt;Veri2!N$1),
LOOKUP(VALUE("31"&amp;"."&amp;"12"&amp;"."&amp;Veri2!N$1)-$L8,{365,2190,5476},{14,20,26}),
IF(AND(YEAR(TODAY())=Veri2!N$1,TODAY()-VALUE(DAY($L8)&amp;"."&amp;MONTH($L8)&amp;"."&amp;YEAR(TODAY())-1)&gt;=365),
LOOKUP(VALUE(DAY(TODAY())&amp;"."&amp;MONTH(TODAY())&amp;"."&amp;Veri2!N$1)-$L8,{0,365,2190,5476},{0,14,20,26}),
IF(AND(YEAR(TODAY())=Veri2!N$1,TODAY()-VALUE(DAY($L8)&amp;"."&amp;MONTH($L8)&amp;"."&amp;YEAR(TODAY())-1)&lt;365),"")))))</f>
        <v/>
      </c>
      <c r="AG8" s="48" t="str">
        <f ca="1">IF(AND(INT(DATE(Veri2!O$1,MONTH($L8),DAY($L8))-DATE(YEAR($M8),MONTH($M8),DAY($M8)))/365.25&gt;=50,
IF(OR($I8="",$L8="",Veri2!O$1&lt;=YEAR($L8),Veri2!O$1&gt;YEAR(TODAY())),"",IF(AND(Veri2!O$1-YEAR($L8)&gt;=1,YEAR(TODAY())&lt;&gt;Veri2!O$1),
LOOKUP(VALUE("31"&amp;"."&amp;"12"&amp;"."&amp;Veri2!O$1)-$L8,{365,2190,5476},{14,20,26}),
IF(AND(YEAR(TODAY())=Veri2!O$1,TODAY()-VALUE(DAY($L8)&amp;"."&amp;MONTH($L8)&amp;"."&amp;YEAR(TODAY())-1)&gt;=365),
LOOKUP(VALUE(DAY(TODAY())&amp;"."&amp;MONTH(TODAY())&amp;"."&amp;Veri2!O$1)-$L8,{0,365,2190,5476},{0,14,20,26}),
IF(AND(YEAR(TODAY())=Veri2!O$1,TODAY()-VALUE(DAY($L8)&amp;"."&amp;MONTH($L8)&amp;"."&amp;YEAR(TODAY())-1)&lt;365),""))))=14),
IF(OR($I8="",$L8="",Veri2!O$1&lt;=YEAR($L8),Veri2!O$1&gt;YEAR(TODAY())),"",IF(AND(Veri2!O$1-YEAR($L8)&gt;=1,YEAR(TODAY())&lt;&gt;Veri2!O$1),
LOOKUP(VALUE("31"&amp;"."&amp;"12"&amp;"."&amp;Veri2!O$1)-$L8,{365,2190,5476},{20,20,26}),
IF(AND(YEAR(TODAY())=Veri2!O$1,TODAY()-VALUE(DAY($L8)&amp;"."&amp;MONTH($L8)&amp;"."&amp;YEAR(TODAY())-1)&gt;=365),
LOOKUP(VALUE(DAY(TODAY())&amp;"."&amp;MONTH(TODAY())&amp;"."&amp;Veri2!O$1)-$L8,{0,365,2190,5476},{0,20,20,26}),
IF(AND(YEAR(TODAY())=Veri2!O$1,TODAY()-VALUE(DAY($L8)&amp;"."&amp;MONTH($L8)&amp;"."&amp;YEAR(TODAY())-1)&lt;365),"")))),
IF(OR($I8="",$L8="",Veri2!O$1&lt;=YEAR($L8),Veri2!O$1&gt;YEAR(TODAY())),"",IF(AND(Veri2!O$1-YEAR($L8)&gt;=1,YEAR(TODAY())&lt;&gt;Veri2!O$1),
LOOKUP(VALUE("31"&amp;"."&amp;"12"&amp;"."&amp;Veri2!O$1)-$L8,{365,2190,5476},{14,20,26}),
IF(AND(YEAR(TODAY())=Veri2!O$1,TODAY()-VALUE(DAY($L8)&amp;"."&amp;MONTH($L8)&amp;"."&amp;YEAR(TODAY())-1)&gt;=365),
LOOKUP(VALUE(DAY(TODAY())&amp;"."&amp;MONTH(TODAY())&amp;"."&amp;Veri2!O$1)-$L8,{0,365,2190,5476},{0,14,20,26}),
IF(AND(YEAR(TODAY())=Veri2!O$1,TODAY()-VALUE(DAY($L8)&amp;"."&amp;MONTH($L8)&amp;"."&amp;YEAR(TODAY())-1)&lt;365),"")))))</f>
        <v/>
      </c>
      <c r="AH8" s="48" t="str">
        <f ca="1">IF(AND(INT(DATE(Veri2!P$1,MONTH($L8),DAY($L8))-DATE(YEAR($M8),MONTH($M8),DAY($M8)))/365.25&gt;=50,
IF(OR($I8="",$L8="",Veri2!P$1&lt;=YEAR($L8),Veri2!P$1&gt;YEAR(TODAY())),"",IF(AND(Veri2!P$1-YEAR($L8)&gt;=1,YEAR(TODAY())&lt;&gt;Veri2!P$1),
LOOKUP(VALUE("31"&amp;"."&amp;"12"&amp;"."&amp;Veri2!P$1)-$L8,{365,2190,5476},{14,20,26}),
IF(AND(YEAR(TODAY())=Veri2!P$1,TODAY()-VALUE(DAY($L8)&amp;"."&amp;MONTH($L8)&amp;"."&amp;YEAR(TODAY())-1)&gt;=365),
LOOKUP(VALUE(DAY(TODAY())&amp;"."&amp;MONTH(TODAY())&amp;"."&amp;Veri2!P$1)-$L8,{0,365,2190,5476},{0,14,20,26}),
IF(AND(YEAR(TODAY())=Veri2!P$1,TODAY()-VALUE(DAY($L8)&amp;"."&amp;MONTH($L8)&amp;"."&amp;YEAR(TODAY())-1)&lt;365),""))))=14),
IF(OR($I8="",$L8="",Veri2!P$1&lt;=YEAR($L8),Veri2!P$1&gt;YEAR(TODAY())),"",IF(AND(Veri2!P$1-YEAR($L8)&gt;=1,YEAR(TODAY())&lt;&gt;Veri2!P$1),
LOOKUP(VALUE("31"&amp;"."&amp;"12"&amp;"."&amp;Veri2!P$1)-$L8,{365,2190,5476},{20,20,26}),
IF(AND(YEAR(TODAY())=Veri2!P$1,TODAY()-VALUE(DAY($L8)&amp;"."&amp;MONTH($L8)&amp;"."&amp;YEAR(TODAY())-1)&gt;=365),
LOOKUP(VALUE(DAY(TODAY())&amp;"."&amp;MONTH(TODAY())&amp;"."&amp;Veri2!P$1)-$L8,{0,365,2190,5476},{0,20,20,26}),
IF(AND(YEAR(TODAY())=Veri2!P$1,TODAY()-VALUE(DAY($L8)&amp;"."&amp;MONTH($L8)&amp;"."&amp;YEAR(TODAY())-1)&lt;365),"")))),
IF(OR($I8="",$L8="",Veri2!P$1&lt;=YEAR($L8),Veri2!P$1&gt;YEAR(TODAY())),"",IF(AND(Veri2!P$1-YEAR($L8)&gt;=1,YEAR(TODAY())&lt;&gt;Veri2!P$1),
LOOKUP(VALUE("31"&amp;"."&amp;"12"&amp;"."&amp;Veri2!P$1)-$L8,{365,2190,5476},{14,20,26}),
IF(AND(YEAR(TODAY())=Veri2!P$1,TODAY()-VALUE(DAY($L8)&amp;"."&amp;MONTH($L8)&amp;"."&amp;YEAR(TODAY())-1)&gt;=365),
LOOKUP(VALUE(DAY(TODAY())&amp;"."&amp;MONTH(TODAY())&amp;"."&amp;Veri2!P$1)-$L8,{0,365,2190,5476},{0,14,20,26}),
IF(AND(YEAR(TODAY())=Veri2!P$1,TODAY()-VALUE(DAY($L8)&amp;"."&amp;MONTH($L8)&amp;"."&amp;YEAR(TODAY())-1)&lt;365),"")))))</f>
        <v/>
      </c>
      <c r="AI8" s="48" t="str">
        <f ca="1">IF(AND(INT(DATE(Veri2!Q$1,MONTH($L8),DAY($L8))-DATE(YEAR($M8),MONTH($M8),DAY($M8)))/365.25&gt;=50,
IF(OR($I8="",$L8="",Veri2!Q$1&lt;=YEAR($L8),Veri2!Q$1&gt;YEAR(TODAY())),"",IF(AND(Veri2!Q$1-YEAR($L8)&gt;=1,YEAR(TODAY())&lt;&gt;Veri2!Q$1),
LOOKUP(VALUE("31"&amp;"."&amp;"12"&amp;"."&amp;Veri2!Q$1)-$L8,{365,2190,5476},{14,20,26}),
IF(AND(YEAR(TODAY())=Veri2!Q$1,TODAY()-VALUE(DAY($L8)&amp;"."&amp;MONTH($L8)&amp;"."&amp;YEAR(TODAY())-1)&gt;=365),
LOOKUP(VALUE(DAY(TODAY())&amp;"."&amp;MONTH(TODAY())&amp;"."&amp;Veri2!Q$1)-$L8,{0,365,2190,5476},{0,14,20,26}),
IF(AND(YEAR(TODAY())=Veri2!Q$1,TODAY()-VALUE(DAY($L8)&amp;"."&amp;MONTH($L8)&amp;"."&amp;YEAR(TODAY())-1)&lt;365),""))))=14),
IF(OR($I8="",$L8="",Veri2!Q$1&lt;=YEAR($L8),Veri2!Q$1&gt;YEAR(TODAY())),"",IF(AND(Veri2!Q$1-YEAR($L8)&gt;=1,YEAR(TODAY())&lt;&gt;Veri2!Q$1),
LOOKUP(VALUE("31"&amp;"."&amp;"12"&amp;"."&amp;Veri2!Q$1)-$L8,{365,2190,5476},{20,20,26}),
IF(AND(YEAR(TODAY())=Veri2!Q$1,TODAY()-VALUE(DAY($L8)&amp;"."&amp;MONTH($L8)&amp;"."&amp;YEAR(TODAY())-1)&gt;=365),
LOOKUP(VALUE(DAY(TODAY())&amp;"."&amp;MONTH(TODAY())&amp;"."&amp;Veri2!Q$1)-$L8,{0,365,2190,5476},{0,20,20,26}),
IF(AND(YEAR(TODAY())=Veri2!Q$1,TODAY()-VALUE(DAY($L8)&amp;"."&amp;MONTH($L8)&amp;"."&amp;YEAR(TODAY())-1)&lt;365),"")))),
IF(OR($I8="",$L8="",Veri2!Q$1&lt;=YEAR($L8),Veri2!Q$1&gt;YEAR(TODAY())),"",IF(AND(Veri2!Q$1-YEAR($L8)&gt;=1,YEAR(TODAY())&lt;&gt;Veri2!Q$1),
LOOKUP(VALUE("31"&amp;"."&amp;"12"&amp;"."&amp;Veri2!Q$1)-$L8,{365,2190,5476},{14,20,26}),
IF(AND(YEAR(TODAY())=Veri2!Q$1,TODAY()-VALUE(DAY($L8)&amp;"."&amp;MONTH($L8)&amp;"."&amp;YEAR(TODAY())-1)&gt;=365),
LOOKUP(VALUE(DAY(TODAY())&amp;"."&amp;MONTH(TODAY())&amp;"."&amp;Veri2!Q$1)-$L8,{0,365,2190,5476},{0,14,20,26}),
IF(AND(YEAR(TODAY())=Veri2!Q$1,TODAY()-VALUE(DAY($L8)&amp;"."&amp;MONTH($L8)&amp;"."&amp;YEAR(TODAY())-1)&lt;365),"")))))</f>
        <v/>
      </c>
      <c r="AJ8" s="48" t="str">
        <f ca="1">IF(AND(INT(DATE(Veri2!R$1,MONTH($L8),DAY($L8))-DATE(YEAR($M8),MONTH($M8),DAY($M8)))/365.25&gt;=50,
IF(OR($I8="",$L8="",Veri2!R$1&lt;=YEAR($L8),Veri2!R$1&gt;YEAR(TODAY())),"",IF(AND(Veri2!R$1-YEAR($L8)&gt;=1,YEAR(TODAY())&lt;&gt;Veri2!R$1),
LOOKUP(VALUE("31"&amp;"."&amp;"12"&amp;"."&amp;Veri2!R$1)-$L8,{365,2190,5476},{14,20,26}),
IF(AND(YEAR(TODAY())=Veri2!R$1,TODAY()-VALUE(DAY($L8)&amp;"."&amp;MONTH($L8)&amp;"."&amp;YEAR(TODAY())-1)&gt;=365),
LOOKUP(VALUE(DAY(TODAY())&amp;"."&amp;MONTH(TODAY())&amp;"."&amp;Veri2!R$1)-$L8,{0,365,2190,5476},{0,14,20,26}),
IF(AND(YEAR(TODAY())=Veri2!R$1,TODAY()-VALUE(DAY($L8)&amp;"."&amp;MONTH($L8)&amp;"."&amp;YEAR(TODAY())-1)&lt;365),""))))=14),
IF(OR($I8="",$L8="",Veri2!R$1&lt;=YEAR($L8),Veri2!R$1&gt;YEAR(TODAY())),"",IF(AND(Veri2!R$1-YEAR($L8)&gt;=1,YEAR(TODAY())&lt;&gt;Veri2!R$1),
LOOKUP(VALUE("31"&amp;"."&amp;"12"&amp;"."&amp;Veri2!R$1)-$L8,{365,2190,5476},{20,20,26}),
IF(AND(YEAR(TODAY())=Veri2!R$1,TODAY()-VALUE(DAY($L8)&amp;"."&amp;MONTH($L8)&amp;"."&amp;YEAR(TODAY())-1)&gt;=365),
LOOKUP(VALUE(DAY(TODAY())&amp;"."&amp;MONTH(TODAY())&amp;"."&amp;Veri2!R$1)-$L8,{0,365,2190,5476},{0,20,20,26}),
IF(AND(YEAR(TODAY())=Veri2!R$1,TODAY()-VALUE(DAY($L8)&amp;"."&amp;MONTH($L8)&amp;"."&amp;YEAR(TODAY())-1)&lt;365),"")))),
IF(OR($I8="",$L8="",Veri2!R$1&lt;=YEAR($L8),Veri2!R$1&gt;YEAR(TODAY())),"",IF(AND(Veri2!R$1-YEAR($L8)&gt;=1,YEAR(TODAY())&lt;&gt;Veri2!R$1),
LOOKUP(VALUE("31"&amp;"."&amp;"12"&amp;"."&amp;Veri2!R$1)-$L8,{365,2190,5476},{14,20,26}),
IF(AND(YEAR(TODAY())=Veri2!R$1,TODAY()-VALUE(DAY($L8)&amp;"."&amp;MONTH($L8)&amp;"."&amp;YEAR(TODAY())-1)&gt;=365),
LOOKUP(VALUE(DAY(TODAY())&amp;"."&amp;MONTH(TODAY())&amp;"."&amp;Veri2!R$1)-$L8,{0,365,2190,5476},{0,14,20,26}),
IF(AND(YEAR(TODAY())=Veri2!R$1,TODAY()-VALUE(DAY($L8)&amp;"."&amp;MONTH($L8)&amp;"."&amp;YEAR(TODAY())-1)&lt;365),"")))))</f>
        <v/>
      </c>
      <c r="AK8" s="48" t="str">
        <f ca="1">IF(AND(INT(DATE(Veri2!S$1,MONTH($L8),DAY($L8))-DATE(YEAR($M8),MONTH($M8),DAY($M8)))/365.25&gt;=50,
IF(OR($I8="",$L8="",Veri2!S$1&lt;=YEAR($L8),Veri2!S$1&gt;YEAR(TODAY())),"",IF(AND(Veri2!S$1-YEAR($L8)&gt;=1,YEAR(TODAY())&lt;&gt;Veri2!S$1),
LOOKUP(VALUE("31"&amp;"."&amp;"12"&amp;"."&amp;Veri2!S$1)-$L8,{365,2190,5476},{14,20,26}),
IF(AND(YEAR(TODAY())=Veri2!S$1,TODAY()-VALUE(DAY($L8)&amp;"."&amp;MONTH($L8)&amp;"."&amp;YEAR(TODAY())-1)&gt;=365),
LOOKUP(VALUE(DAY(TODAY())&amp;"."&amp;MONTH(TODAY())&amp;"."&amp;Veri2!S$1)-$L8,{0,365,2190,5476},{0,14,20,26}),
IF(AND(YEAR(TODAY())=Veri2!S$1,TODAY()-VALUE(DAY($L8)&amp;"."&amp;MONTH($L8)&amp;"."&amp;YEAR(TODAY())-1)&lt;365),""))))=14),
IF(OR($I8="",$L8="",Veri2!S$1&lt;=YEAR($L8),Veri2!S$1&gt;YEAR(TODAY())),"",IF(AND(Veri2!S$1-YEAR($L8)&gt;=1,YEAR(TODAY())&lt;&gt;Veri2!S$1),
LOOKUP(VALUE("31"&amp;"."&amp;"12"&amp;"."&amp;Veri2!S$1)-$L8,{365,2190,5476},{20,20,26}),
IF(AND(YEAR(TODAY())=Veri2!S$1,TODAY()-VALUE(DAY($L8)&amp;"."&amp;MONTH($L8)&amp;"."&amp;YEAR(TODAY())-1)&gt;=365),
LOOKUP(VALUE(DAY(TODAY())&amp;"."&amp;MONTH(TODAY())&amp;"."&amp;Veri2!S$1)-$L8,{0,365,2190,5476},{0,20,20,26}),
IF(AND(YEAR(TODAY())=Veri2!S$1,TODAY()-VALUE(DAY($L8)&amp;"."&amp;MONTH($L8)&amp;"."&amp;YEAR(TODAY())-1)&lt;365),"")))),
IF(OR($I8="",$L8="",Veri2!S$1&lt;=YEAR($L8),Veri2!S$1&gt;YEAR(TODAY())),"",IF(AND(Veri2!S$1-YEAR($L8)&gt;=1,YEAR(TODAY())&lt;&gt;Veri2!S$1),
LOOKUP(VALUE("31"&amp;"."&amp;"12"&amp;"."&amp;Veri2!S$1)-$L8,{365,2190,5476},{14,20,26}),
IF(AND(YEAR(TODAY())=Veri2!S$1,TODAY()-VALUE(DAY($L8)&amp;"."&amp;MONTH($L8)&amp;"."&amp;YEAR(TODAY())-1)&gt;=365),
LOOKUP(VALUE(DAY(TODAY())&amp;"."&amp;MONTH(TODAY())&amp;"."&amp;Veri2!S$1)-$L8,{0,365,2190,5476},{0,14,20,26}),
IF(AND(YEAR(TODAY())=Veri2!S$1,TODAY()-VALUE(DAY($L8)&amp;"."&amp;MONTH($L8)&amp;"."&amp;YEAR(TODAY())-1)&lt;365),"")))))</f>
        <v/>
      </c>
      <c r="AL8" s="48" t="str">
        <f ca="1">IF(AND(INT(DATE(Veri2!T$1,MONTH($L8),DAY($L8))-DATE(YEAR($M8),MONTH($M8),DAY($M8)))/365.25&gt;=50,
IF(OR($I8="",$L8="",Veri2!T$1&lt;=YEAR($L8),Veri2!T$1&gt;YEAR(TODAY())),"",IF(AND(Veri2!T$1-YEAR($L8)&gt;=1,YEAR(TODAY())&lt;&gt;Veri2!T$1),
LOOKUP(VALUE("31"&amp;"."&amp;"12"&amp;"."&amp;Veri2!T$1)-$L8,{365,2190,5476},{14,20,26}),
IF(AND(YEAR(TODAY())=Veri2!T$1,TODAY()-VALUE(DAY($L8)&amp;"."&amp;MONTH($L8)&amp;"."&amp;YEAR(TODAY())-1)&gt;=365),
LOOKUP(VALUE(DAY(TODAY())&amp;"."&amp;MONTH(TODAY())&amp;"."&amp;Veri2!T$1)-$L8,{0,365,2190,5476},{0,14,20,26}),
IF(AND(YEAR(TODAY())=Veri2!T$1,TODAY()-VALUE(DAY($L8)&amp;"."&amp;MONTH($L8)&amp;"."&amp;YEAR(TODAY())-1)&lt;365),""))))=14),
IF(OR($I8="",$L8="",Veri2!T$1&lt;=YEAR($L8),Veri2!T$1&gt;YEAR(TODAY())),"",IF(AND(Veri2!T$1-YEAR($L8)&gt;=1,YEAR(TODAY())&lt;&gt;Veri2!T$1),
LOOKUP(VALUE("31"&amp;"."&amp;"12"&amp;"."&amp;Veri2!T$1)-$L8,{365,2190,5476},{20,20,26}),
IF(AND(YEAR(TODAY())=Veri2!T$1,TODAY()-VALUE(DAY($L8)&amp;"."&amp;MONTH($L8)&amp;"."&amp;YEAR(TODAY())-1)&gt;=365),
LOOKUP(VALUE(DAY(TODAY())&amp;"."&amp;MONTH(TODAY())&amp;"."&amp;Veri2!T$1)-$L8,{0,365,2190,5476},{0,20,20,26}),
IF(AND(YEAR(TODAY())=Veri2!T$1,TODAY()-VALUE(DAY($L8)&amp;"."&amp;MONTH($L8)&amp;"."&amp;YEAR(TODAY())-1)&lt;365),"")))),
IF(OR($I8="",$L8="",Veri2!T$1&lt;=YEAR($L8),Veri2!T$1&gt;YEAR(TODAY())),"",IF(AND(Veri2!T$1-YEAR($L8)&gt;=1,YEAR(TODAY())&lt;&gt;Veri2!T$1),
LOOKUP(VALUE("31"&amp;"."&amp;"12"&amp;"."&amp;Veri2!T$1)-$L8,{365,2190,5476},{14,20,26}),
IF(AND(YEAR(TODAY())=Veri2!T$1,TODAY()-VALUE(DAY($L8)&amp;"."&amp;MONTH($L8)&amp;"."&amp;YEAR(TODAY())-1)&gt;=365),
LOOKUP(VALUE(DAY(TODAY())&amp;"."&amp;MONTH(TODAY())&amp;"."&amp;Veri2!T$1)-$L8,{0,365,2190,5476},{0,14,20,26}),
IF(AND(YEAR(TODAY())=Veri2!T$1,TODAY()-VALUE(DAY($L8)&amp;"."&amp;MONTH($L8)&amp;"."&amp;YEAR(TODAY())-1)&lt;365),"")))))</f>
        <v/>
      </c>
      <c r="AM8" s="48" t="str">
        <f ca="1">IF(AND(INT(DATE(Veri2!U$1,MONTH($L8),DAY($L8))-DATE(YEAR($M8),MONTH($M8),DAY($M8)))/365.25&gt;=50,
IF(OR($I8="",$L8="",Veri2!U$1&lt;=YEAR($L8),Veri2!U$1&gt;YEAR(TODAY())),"",IF(AND(Veri2!U$1-YEAR($L8)&gt;=1,YEAR(TODAY())&lt;&gt;Veri2!U$1),
LOOKUP(VALUE("31"&amp;"."&amp;"12"&amp;"."&amp;Veri2!U$1)-$L8,{365,2190,5476},{14,20,26}),
IF(AND(YEAR(TODAY())=Veri2!U$1,TODAY()-VALUE(DAY($L8)&amp;"."&amp;MONTH($L8)&amp;"."&amp;YEAR(TODAY())-1)&gt;=365),
LOOKUP(VALUE(DAY(TODAY())&amp;"."&amp;MONTH(TODAY())&amp;"."&amp;Veri2!U$1)-$L8,{0,365,2190,5476},{0,14,20,26}),
IF(AND(YEAR(TODAY())=Veri2!U$1,TODAY()-VALUE(DAY($L8)&amp;"."&amp;MONTH($L8)&amp;"."&amp;YEAR(TODAY())-1)&lt;365),""))))=14),
IF(OR($I8="",$L8="",Veri2!U$1&lt;=YEAR($L8),Veri2!U$1&gt;YEAR(TODAY())),"",IF(AND(Veri2!U$1-YEAR($L8)&gt;=1,YEAR(TODAY())&lt;&gt;Veri2!U$1),
LOOKUP(VALUE("31"&amp;"."&amp;"12"&amp;"."&amp;Veri2!U$1)-$L8,{365,2190,5476},{20,20,26}),
IF(AND(YEAR(TODAY())=Veri2!U$1,TODAY()-VALUE(DAY($L8)&amp;"."&amp;MONTH($L8)&amp;"."&amp;YEAR(TODAY())-1)&gt;=365),
LOOKUP(VALUE(DAY(TODAY())&amp;"."&amp;MONTH(TODAY())&amp;"."&amp;Veri2!U$1)-$L8,{0,365,2190,5476},{0,20,20,26}),
IF(AND(YEAR(TODAY())=Veri2!U$1,TODAY()-VALUE(DAY($L8)&amp;"."&amp;MONTH($L8)&amp;"."&amp;YEAR(TODAY())-1)&lt;365),"")))),
IF(OR($I8="",$L8="",Veri2!U$1&lt;=YEAR($L8),Veri2!U$1&gt;YEAR(TODAY())),"",IF(AND(Veri2!U$1-YEAR($L8)&gt;=1,YEAR(TODAY())&lt;&gt;Veri2!U$1),
LOOKUP(VALUE("31"&amp;"."&amp;"12"&amp;"."&amp;Veri2!U$1)-$L8,{365,2190,5476},{14,20,26}),
IF(AND(YEAR(TODAY())=Veri2!U$1,TODAY()-VALUE(DAY($L8)&amp;"."&amp;MONTH($L8)&amp;"."&amp;YEAR(TODAY())-1)&gt;=365),
LOOKUP(VALUE(DAY(TODAY())&amp;"."&amp;MONTH(TODAY())&amp;"."&amp;Veri2!U$1)-$L8,{0,365,2190,5476},{0,14,20,26}),
IF(AND(YEAR(TODAY())=Veri2!U$1,TODAY()-VALUE(DAY($L8)&amp;"."&amp;MONTH($L8)&amp;"."&amp;YEAR(TODAY())-1)&lt;365),"")))))</f>
        <v/>
      </c>
      <c r="AN8" s="48" t="str">
        <f ca="1">IF(AND(INT(DATE(Veri2!V$1,MONTH($L8),DAY($L8))-DATE(YEAR($M8),MONTH($M8),DAY($M8)))/365.25&gt;=50,
IF(OR($I8="",$L8="",Veri2!V$1&lt;=YEAR($L8),Veri2!V$1&gt;YEAR(TODAY())),"",IF(AND(Veri2!V$1-YEAR($L8)&gt;=1,YEAR(TODAY())&lt;&gt;Veri2!V$1),
LOOKUP(VALUE("31"&amp;"."&amp;"12"&amp;"."&amp;Veri2!V$1)-$L8,{365,2190,5476},{14,20,26}),
IF(AND(YEAR(TODAY())=Veri2!V$1,TODAY()-VALUE(DAY($L8)&amp;"."&amp;MONTH($L8)&amp;"."&amp;YEAR(TODAY())-1)&gt;=365),
LOOKUP(VALUE(DAY(TODAY())&amp;"."&amp;MONTH(TODAY())&amp;"."&amp;Veri2!V$1)-$L8,{0,365,2190,5476},{0,14,20,26}),
IF(AND(YEAR(TODAY())=Veri2!V$1,TODAY()-VALUE(DAY($L8)&amp;"."&amp;MONTH($L8)&amp;"."&amp;YEAR(TODAY())-1)&lt;365),""))))=14),
IF(OR($I8="",$L8="",Veri2!V$1&lt;=YEAR($L8),Veri2!V$1&gt;YEAR(TODAY())),"",IF(AND(Veri2!V$1-YEAR($L8)&gt;=1,YEAR(TODAY())&lt;&gt;Veri2!V$1),
LOOKUP(VALUE("31"&amp;"."&amp;"12"&amp;"."&amp;Veri2!V$1)-$L8,{365,2190,5476},{20,20,26}),
IF(AND(YEAR(TODAY())=Veri2!V$1,TODAY()-VALUE(DAY($L8)&amp;"."&amp;MONTH($L8)&amp;"."&amp;YEAR(TODAY())-1)&gt;=365),
LOOKUP(VALUE(DAY(TODAY())&amp;"."&amp;MONTH(TODAY())&amp;"."&amp;Veri2!V$1)-$L8,{0,365,2190,5476},{0,20,20,26}),
IF(AND(YEAR(TODAY())=Veri2!V$1,TODAY()-VALUE(DAY($L8)&amp;"."&amp;MONTH($L8)&amp;"."&amp;YEAR(TODAY())-1)&lt;365),"")))),
IF(OR($I8="",$L8="",Veri2!V$1&lt;=YEAR($L8),Veri2!V$1&gt;YEAR(TODAY())),"",IF(AND(Veri2!V$1-YEAR($L8)&gt;=1,YEAR(TODAY())&lt;&gt;Veri2!V$1),
LOOKUP(VALUE("31"&amp;"."&amp;"12"&amp;"."&amp;Veri2!V$1)-$L8,{365,2190,5476},{14,20,26}),
IF(AND(YEAR(TODAY())=Veri2!V$1,TODAY()-VALUE(DAY($L8)&amp;"."&amp;MONTH($L8)&amp;"."&amp;YEAR(TODAY())-1)&gt;=365),
LOOKUP(VALUE(DAY(TODAY())&amp;"."&amp;MONTH(TODAY())&amp;"."&amp;Veri2!V$1)-$L8,{0,365,2190,5476},{0,14,20,26}),
IF(AND(YEAR(TODAY())=Veri2!V$1,TODAY()-VALUE(DAY($L8)&amp;"."&amp;MONTH($L8)&amp;"."&amp;YEAR(TODAY())-1)&lt;365),"")))))</f>
        <v/>
      </c>
      <c r="AO8" s="48" t="str">
        <f ca="1">IF(AND(INT(DATE(Veri2!W$1,MONTH($L8),DAY($L8))-DATE(YEAR($M8),MONTH($M8),DAY($M8)))/365.25&gt;=50,
IF(OR($I8="",$L8="",Veri2!W$1&lt;=YEAR($L8),Veri2!W$1&gt;YEAR(TODAY())),"",IF(AND(Veri2!W$1-YEAR($L8)&gt;=1,YEAR(TODAY())&lt;&gt;Veri2!W$1),
LOOKUP(VALUE("31"&amp;"."&amp;"12"&amp;"."&amp;Veri2!W$1)-$L8,{365,2190,5476},{14,20,26}),
IF(AND(YEAR(TODAY())=Veri2!W$1,TODAY()-VALUE(DAY($L8)&amp;"."&amp;MONTH($L8)&amp;"."&amp;YEAR(TODAY())-1)&gt;=365),
LOOKUP(VALUE(DAY(TODAY())&amp;"."&amp;MONTH(TODAY())&amp;"."&amp;Veri2!W$1)-$L8,{0,365,2190,5476},{0,14,20,26}),
IF(AND(YEAR(TODAY())=Veri2!W$1,TODAY()-VALUE(DAY($L8)&amp;"."&amp;MONTH($L8)&amp;"."&amp;YEAR(TODAY())-1)&lt;365),""))))=14),
IF(OR($I8="",$L8="",Veri2!W$1&lt;=YEAR($L8),Veri2!W$1&gt;YEAR(TODAY())),"",IF(AND(Veri2!W$1-YEAR($L8)&gt;=1,YEAR(TODAY())&lt;&gt;Veri2!W$1),
LOOKUP(VALUE("31"&amp;"."&amp;"12"&amp;"."&amp;Veri2!W$1)-$L8,{365,2190,5476},{20,20,26}),
IF(AND(YEAR(TODAY())=Veri2!W$1,TODAY()-VALUE(DAY($L8)&amp;"."&amp;MONTH($L8)&amp;"."&amp;YEAR(TODAY())-1)&gt;=365),
LOOKUP(VALUE(DAY(TODAY())&amp;"."&amp;MONTH(TODAY())&amp;"."&amp;Veri2!W$1)-$L8,{0,365,2190,5476},{0,20,20,26}),
IF(AND(YEAR(TODAY())=Veri2!W$1,TODAY()-VALUE(DAY($L8)&amp;"."&amp;MONTH($L8)&amp;"."&amp;YEAR(TODAY())-1)&lt;365),"")))),
IF(OR($I8="",$L8="",Veri2!W$1&lt;=YEAR($L8),Veri2!W$1&gt;YEAR(TODAY())),"",IF(AND(Veri2!W$1-YEAR($L8)&gt;=1,YEAR(TODAY())&lt;&gt;Veri2!W$1),
LOOKUP(VALUE("31"&amp;"."&amp;"12"&amp;"."&amp;Veri2!W$1)-$L8,{365,2190,5476},{14,20,26}),
IF(AND(YEAR(TODAY())=Veri2!W$1,TODAY()-VALUE(DAY($L8)&amp;"."&amp;MONTH($L8)&amp;"."&amp;YEAR(TODAY())-1)&gt;=365),
LOOKUP(VALUE(DAY(TODAY())&amp;"."&amp;MONTH(TODAY())&amp;"."&amp;Veri2!W$1)-$L8,{0,365,2190,5476},{0,14,20,26}),
IF(AND(YEAR(TODAY())=Veri2!W$1,TODAY()-VALUE(DAY($L8)&amp;"."&amp;MONTH($L8)&amp;"."&amp;YEAR(TODAY())-1)&lt;365),"")))))</f>
        <v/>
      </c>
      <c r="AP8" s="48" t="str">
        <f ca="1">IF(AND(INT(DATE(Veri2!X$1,MONTH($L8),DAY($L8))-DATE(YEAR($M8),MONTH($M8),DAY($M8)))/365.25&gt;=50,
IF(OR($I8="",$L8="",Veri2!X$1&lt;=YEAR($L8),Veri2!X$1&gt;YEAR(TODAY())),"",IF(AND(Veri2!X$1-YEAR($L8)&gt;=1,YEAR(TODAY())&lt;&gt;Veri2!X$1),
LOOKUP(VALUE("31"&amp;"."&amp;"12"&amp;"."&amp;Veri2!X$1)-$L8,{365,2190,5476},{14,20,26}),
IF(AND(YEAR(TODAY())=Veri2!X$1,TODAY()-VALUE(DAY($L8)&amp;"."&amp;MONTH($L8)&amp;"."&amp;YEAR(TODAY())-1)&gt;=365),
LOOKUP(VALUE(DAY(TODAY())&amp;"."&amp;MONTH(TODAY())&amp;"."&amp;Veri2!X$1)-$L8,{0,365,2190,5476},{0,14,20,26}),
IF(AND(YEAR(TODAY())=Veri2!X$1,TODAY()-VALUE(DAY($L8)&amp;"."&amp;MONTH($L8)&amp;"."&amp;YEAR(TODAY())-1)&lt;365),""))))=14),
IF(OR($I8="",$L8="",Veri2!X$1&lt;=YEAR($L8),Veri2!X$1&gt;YEAR(TODAY())),"",IF(AND(Veri2!X$1-YEAR($L8)&gt;=1,YEAR(TODAY())&lt;&gt;Veri2!X$1),
LOOKUP(VALUE("31"&amp;"."&amp;"12"&amp;"."&amp;Veri2!X$1)-$L8,{365,2190,5476},{20,20,26}),
IF(AND(YEAR(TODAY())=Veri2!X$1,TODAY()-VALUE(DAY($L8)&amp;"."&amp;MONTH($L8)&amp;"."&amp;YEAR(TODAY())-1)&gt;=365),
LOOKUP(VALUE(DAY(TODAY())&amp;"."&amp;MONTH(TODAY())&amp;"."&amp;Veri2!X$1)-$L8,{0,365,2190,5476},{0,20,20,26}),
IF(AND(YEAR(TODAY())=Veri2!X$1,TODAY()-VALUE(DAY($L8)&amp;"."&amp;MONTH($L8)&amp;"."&amp;YEAR(TODAY())-1)&lt;365),"")))),
IF(OR($I8="",$L8="",Veri2!X$1&lt;=YEAR($L8),Veri2!X$1&gt;YEAR(TODAY())),"",IF(AND(Veri2!X$1-YEAR($L8)&gt;=1,YEAR(TODAY())&lt;&gt;Veri2!X$1),
LOOKUP(VALUE("31"&amp;"."&amp;"12"&amp;"."&amp;Veri2!X$1)-$L8,{365,2190,5476},{14,20,26}),
IF(AND(YEAR(TODAY())=Veri2!X$1,TODAY()-VALUE(DAY($L8)&amp;"."&amp;MONTH($L8)&amp;"."&amp;YEAR(TODAY())-1)&gt;=365),
LOOKUP(VALUE(DAY(TODAY())&amp;"."&amp;MONTH(TODAY())&amp;"."&amp;Veri2!X$1)-$L8,{0,365,2190,5476},{0,14,20,26}),
IF(AND(YEAR(TODAY())=Veri2!X$1,TODAY()-VALUE(DAY($L8)&amp;"."&amp;MONTH($L8)&amp;"."&amp;YEAR(TODAY())-1)&lt;365),"")))))</f>
        <v/>
      </c>
      <c r="AQ8" s="48" t="str">
        <f ca="1">IF(AND(INT(DATE(Veri2!Y$1,MONTH($L8),DAY($L8))-DATE(YEAR($M8),MONTH($M8),DAY($M8)))/365.25&gt;=50,
IF(OR($I8="",$L8="",Veri2!Y$1&lt;=YEAR($L8),Veri2!Y$1&gt;YEAR(TODAY())),"",IF(AND(Veri2!Y$1-YEAR($L8)&gt;=1,YEAR(TODAY())&lt;&gt;Veri2!Y$1),
LOOKUP(VALUE("31"&amp;"."&amp;"12"&amp;"."&amp;Veri2!Y$1)-$L8,{365,2190,5476},{14,20,26}),
IF(AND(YEAR(TODAY())=Veri2!Y$1,TODAY()-VALUE(DAY($L8)&amp;"."&amp;MONTH($L8)&amp;"."&amp;YEAR(TODAY())-1)&gt;=365),
LOOKUP(VALUE(DAY(TODAY())&amp;"."&amp;MONTH(TODAY())&amp;"."&amp;Veri2!Y$1)-$L8,{0,365,2190,5476},{0,14,20,26}),
IF(AND(YEAR(TODAY())=Veri2!Y$1,TODAY()-VALUE(DAY($L8)&amp;"."&amp;MONTH($L8)&amp;"."&amp;YEAR(TODAY())-1)&lt;365),""))))=14),
IF(OR($I8="",$L8="",Veri2!Y$1&lt;=YEAR($L8),Veri2!Y$1&gt;YEAR(TODAY())),"",IF(AND(Veri2!Y$1-YEAR($L8)&gt;=1,YEAR(TODAY())&lt;&gt;Veri2!Y$1),
LOOKUP(VALUE("31"&amp;"."&amp;"12"&amp;"."&amp;Veri2!Y$1)-$L8,{365,2190,5476},{20,20,26}),
IF(AND(YEAR(TODAY())=Veri2!Y$1,TODAY()-VALUE(DAY($L8)&amp;"."&amp;MONTH($L8)&amp;"."&amp;YEAR(TODAY())-1)&gt;=365),
LOOKUP(VALUE(DAY(TODAY())&amp;"."&amp;MONTH(TODAY())&amp;"."&amp;Veri2!Y$1)-$L8,{0,365,2190,5476},{0,20,20,26}),
IF(AND(YEAR(TODAY())=Veri2!Y$1,TODAY()-VALUE(DAY($L8)&amp;"."&amp;MONTH($L8)&amp;"."&amp;YEAR(TODAY())-1)&lt;365),"")))),
IF(OR($I8="",$L8="",Veri2!Y$1&lt;=YEAR($L8),Veri2!Y$1&gt;YEAR(TODAY())),"",IF(AND(Veri2!Y$1-YEAR($L8)&gt;=1,YEAR(TODAY())&lt;&gt;Veri2!Y$1),
LOOKUP(VALUE("31"&amp;"."&amp;"12"&amp;"."&amp;Veri2!Y$1)-$L8,{365,2190,5476},{14,20,26}),
IF(AND(YEAR(TODAY())=Veri2!Y$1,TODAY()-VALUE(DAY($L8)&amp;"."&amp;MONTH($L8)&amp;"."&amp;YEAR(TODAY())-1)&gt;=365),
LOOKUP(VALUE(DAY(TODAY())&amp;"."&amp;MONTH(TODAY())&amp;"."&amp;Veri2!Y$1)-$L8,{0,365,2190,5476},{0,14,20,26}),
IF(AND(YEAR(TODAY())=Veri2!Y$1,TODAY()-VALUE(DAY($L8)&amp;"."&amp;MONTH($L8)&amp;"."&amp;YEAR(TODAY())-1)&lt;365),"")))))</f>
        <v/>
      </c>
      <c r="AR8" s="48" t="str">
        <f ca="1">IF(AND(INT(DATE(Veri2!Z$1,MONTH($L8),DAY($L8))-DATE(YEAR($M8),MONTH($M8),DAY($M8)))/365.25&gt;=50,
IF(OR($I8="",$L8="",Veri2!Z$1&lt;=YEAR($L8),Veri2!Z$1&gt;YEAR(TODAY())),"",IF(AND(Veri2!Z$1-YEAR($L8)&gt;=1,YEAR(TODAY())&lt;&gt;Veri2!Z$1),
LOOKUP(VALUE("31"&amp;"."&amp;"12"&amp;"."&amp;Veri2!Z$1)-$L8,{365,2190,5476},{14,20,26}),
IF(AND(YEAR(TODAY())=Veri2!Z$1,TODAY()-VALUE(DAY($L8)&amp;"."&amp;MONTH($L8)&amp;"."&amp;YEAR(TODAY())-1)&gt;=365),
LOOKUP(VALUE(DAY(TODAY())&amp;"."&amp;MONTH(TODAY())&amp;"."&amp;Veri2!Z$1)-$L8,{0,365,2190,5476},{0,14,20,26}),
IF(AND(YEAR(TODAY())=Veri2!Z$1,TODAY()-VALUE(DAY($L8)&amp;"."&amp;MONTH($L8)&amp;"."&amp;YEAR(TODAY())-1)&lt;365),""))))=14),
IF(OR($I8="",$L8="",Veri2!Z$1&lt;=YEAR($L8),Veri2!Z$1&gt;YEAR(TODAY())),"",IF(AND(Veri2!Z$1-YEAR($L8)&gt;=1,YEAR(TODAY())&lt;&gt;Veri2!Z$1),
LOOKUP(VALUE("31"&amp;"."&amp;"12"&amp;"."&amp;Veri2!Z$1)-$L8,{365,2190,5476},{20,20,26}),
IF(AND(YEAR(TODAY())=Veri2!Z$1,TODAY()-VALUE(DAY($L8)&amp;"."&amp;MONTH($L8)&amp;"."&amp;YEAR(TODAY())-1)&gt;=365),
LOOKUP(VALUE(DAY(TODAY())&amp;"."&amp;MONTH(TODAY())&amp;"."&amp;Veri2!Z$1)-$L8,{0,365,2190,5476},{0,20,20,26}),
IF(AND(YEAR(TODAY())=Veri2!Z$1,TODAY()-VALUE(DAY($L8)&amp;"."&amp;MONTH($L8)&amp;"."&amp;YEAR(TODAY())-1)&lt;365),"")))),
IF(OR($I8="",$L8="",Veri2!Z$1&lt;=YEAR($L8),Veri2!Z$1&gt;YEAR(TODAY())),"",IF(AND(Veri2!Z$1-YEAR($L8)&gt;=1,YEAR(TODAY())&lt;&gt;Veri2!Z$1),
LOOKUP(VALUE("31"&amp;"."&amp;"12"&amp;"."&amp;Veri2!Z$1)-$L8,{365,2190,5476},{14,20,26}),
IF(AND(YEAR(TODAY())=Veri2!Z$1,TODAY()-VALUE(DAY($L8)&amp;"."&amp;MONTH($L8)&amp;"."&amp;YEAR(TODAY())-1)&gt;=365),
LOOKUP(VALUE(DAY(TODAY())&amp;"."&amp;MONTH(TODAY())&amp;"."&amp;Veri2!Z$1)-$L8,{0,365,2190,5476},{0,14,20,26}),
IF(AND(YEAR(TODAY())=Veri2!Z$1,TODAY()-VALUE(DAY($L8)&amp;"."&amp;MONTH($L8)&amp;"."&amp;YEAR(TODAY())-1)&lt;365),"")))))</f>
        <v/>
      </c>
      <c r="AS8" s="48" t="str">
        <f ca="1">IF(AND(INT(DATE(Veri2!AA$1,MONTH($L8),DAY($L8))-DATE(YEAR($M8),MONTH($M8),DAY($M8)))/365.25&gt;=50,
IF(OR($I8="",$L8="",Veri2!AA$1&lt;=YEAR($L8),Veri2!AA$1&gt;YEAR(TODAY())),"",IF(AND(Veri2!AA$1-YEAR($L8)&gt;=1,YEAR(TODAY())&lt;&gt;Veri2!AA$1),
LOOKUP(VALUE("31"&amp;"."&amp;"12"&amp;"."&amp;Veri2!AA$1)-$L8,{365,2190,5476},{14,20,26}),
IF(AND(YEAR(TODAY())=Veri2!AA$1,TODAY()-VALUE(DAY($L8)&amp;"."&amp;MONTH($L8)&amp;"."&amp;YEAR(TODAY())-1)&gt;=365),
LOOKUP(VALUE(DAY(TODAY())&amp;"."&amp;MONTH(TODAY())&amp;"."&amp;Veri2!AA$1)-$L8,{0,365,2190,5476},{0,14,20,26}),
IF(AND(YEAR(TODAY())=Veri2!AA$1,TODAY()-VALUE(DAY($L8)&amp;"."&amp;MONTH($L8)&amp;"."&amp;YEAR(TODAY())-1)&lt;365),""))))=14),
IF(OR($I8="",$L8="",Veri2!AA$1&lt;=YEAR($L8),Veri2!AA$1&gt;YEAR(TODAY())),"",IF(AND(Veri2!AA$1-YEAR($L8)&gt;=1,YEAR(TODAY())&lt;&gt;Veri2!AA$1),
LOOKUP(VALUE("31"&amp;"."&amp;"12"&amp;"."&amp;Veri2!AA$1)-$L8,{365,2190,5476},{20,20,26}),
IF(AND(YEAR(TODAY())=Veri2!AA$1,TODAY()-VALUE(DAY($L8)&amp;"."&amp;MONTH($L8)&amp;"."&amp;YEAR(TODAY())-1)&gt;=365),
LOOKUP(VALUE(DAY(TODAY())&amp;"."&amp;MONTH(TODAY())&amp;"."&amp;Veri2!AA$1)-$L8,{0,365,2190,5476},{0,20,20,26}),
IF(AND(YEAR(TODAY())=Veri2!AA$1,TODAY()-VALUE(DAY($L8)&amp;"."&amp;MONTH($L8)&amp;"."&amp;YEAR(TODAY())-1)&lt;365),"")))),
IF(OR($I8="",$L8="",Veri2!AA$1&lt;=YEAR($L8),Veri2!AA$1&gt;YEAR(TODAY())),"",IF(AND(Veri2!AA$1-YEAR($L8)&gt;=1,YEAR(TODAY())&lt;&gt;Veri2!AA$1),
LOOKUP(VALUE("31"&amp;"."&amp;"12"&amp;"."&amp;Veri2!AA$1)-$L8,{365,2190,5476},{14,20,26}),
IF(AND(YEAR(TODAY())=Veri2!AA$1,TODAY()-VALUE(DAY($L8)&amp;"."&amp;MONTH($L8)&amp;"."&amp;YEAR(TODAY())-1)&gt;=365),
LOOKUP(VALUE(DAY(TODAY())&amp;"."&amp;MONTH(TODAY())&amp;"."&amp;Veri2!AA$1)-$L8,{0,365,2190,5476},{0,14,20,26}),
IF(AND(YEAR(TODAY())=Veri2!AA$1,TODAY()-VALUE(DAY($L8)&amp;"."&amp;MONTH($L8)&amp;"."&amp;YEAR(TODAY())-1)&lt;365),"")))))</f>
        <v/>
      </c>
      <c r="AT8" s="48" t="str">
        <f ca="1">IF(AND(INT(DATE(Veri2!AB$1,MONTH($L8),DAY($L8))-DATE(YEAR($M8),MONTH($M8),DAY($M8)))/365.25&gt;=50,
IF(OR($I8="",$L8="",Veri2!AB$1&lt;=YEAR($L8),Veri2!AB$1&gt;YEAR(TODAY())),"",IF(AND(Veri2!AB$1-YEAR($L8)&gt;=1,YEAR(TODAY())&lt;&gt;Veri2!AB$1),
LOOKUP(VALUE("31"&amp;"."&amp;"12"&amp;"."&amp;Veri2!AB$1)-$L8,{365,2190,5476},{14,20,26}),
IF(AND(YEAR(TODAY())=Veri2!AB$1,TODAY()-VALUE(DAY($L8)&amp;"."&amp;MONTH($L8)&amp;"."&amp;YEAR(TODAY())-1)&gt;=365),
LOOKUP(VALUE(DAY(TODAY())&amp;"."&amp;MONTH(TODAY())&amp;"."&amp;Veri2!AB$1)-$L8,{0,365,2190,5476},{0,14,20,26}),
IF(AND(YEAR(TODAY())=Veri2!AB$1,TODAY()-VALUE(DAY($L8)&amp;"."&amp;MONTH($L8)&amp;"."&amp;YEAR(TODAY())-1)&lt;365),""))))=14),
IF(OR($I8="",$L8="",Veri2!AB$1&lt;=YEAR($L8),Veri2!AB$1&gt;YEAR(TODAY())),"",IF(AND(Veri2!AB$1-YEAR($L8)&gt;=1,YEAR(TODAY())&lt;&gt;Veri2!AB$1),
LOOKUP(VALUE("31"&amp;"."&amp;"12"&amp;"."&amp;Veri2!AB$1)-$L8,{365,2190,5476},{20,20,26}),
IF(AND(YEAR(TODAY())=Veri2!AB$1,TODAY()-VALUE(DAY($L8)&amp;"."&amp;MONTH($L8)&amp;"."&amp;YEAR(TODAY())-1)&gt;=365),
LOOKUP(VALUE(DAY(TODAY())&amp;"."&amp;MONTH(TODAY())&amp;"."&amp;Veri2!AB$1)-$L8,{0,365,2190,5476},{0,20,20,26}),
IF(AND(YEAR(TODAY())=Veri2!AB$1,TODAY()-VALUE(DAY($L8)&amp;"."&amp;MONTH($L8)&amp;"."&amp;YEAR(TODAY())-1)&lt;365),"")))),
IF(OR($I8="",$L8="",Veri2!AB$1&lt;=YEAR($L8),Veri2!AB$1&gt;YEAR(TODAY())),"",IF(AND(Veri2!AB$1-YEAR($L8)&gt;=1,YEAR(TODAY())&lt;&gt;Veri2!AB$1),
LOOKUP(VALUE("31"&amp;"."&amp;"12"&amp;"."&amp;Veri2!AB$1)-$L8,{365,2190,5476},{14,20,26}),
IF(AND(YEAR(TODAY())=Veri2!AB$1,TODAY()-VALUE(DAY($L8)&amp;"."&amp;MONTH($L8)&amp;"."&amp;YEAR(TODAY())-1)&gt;=365),
LOOKUP(VALUE(DAY(TODAY())&amp;"."&amp;MONTH(TODAY())&amp;"."&amp;Veri2!AB$1)-$L8,{0,365,2190,5476},{0,14,20,26}),
IF(AND(YEAR(TODAY())=Veri2!AB$1,TODAY()-VALUE(DAY($L8)&amp;"."&amp;MONTH($L8)&amp;"."&amp;YEAR(TODAY())-1)&lt;365),"")))))</f>
        <v/>
      </c>
      <c r="AU8" s="48" t="str">
        <f ca="1">IF(AND(INT(DATE(Veri2!AC$1,MONTH($L8),DAY($L8))-DATE(YEAR($M8),MONTH($M8),DAY($M8)))/365.25&gt;=50,
IF(OR($I8="",$L8="",Veri2!AC$1&lt;=YEAR($L8),Veri2!AC$1&gt;YEAR(TODAY())),"",IF(AND(Veri2!AC$1-YEAR($L8)&gt;=1,YEAR(TODAY())&lt;&gt;Veri2!AC$1),
LOOKUP(VALUE("31"&amp;"."&amp;"12"&amp;"."&amp;Veri2!AC$1)-$L8,{365,2190,5476},{14,20,26}),
IF(AND(YEAR(TODAY())=Veri2!AC$1,TODAY()-VALUE(DAY($L8)&amp;"."&amp;MONTH($L8)&amp;"."&amp;YEAR(TODAY())-1)&gt;=365),
LOOKUP(VALUE(DAY(TODAY())&amp;"."&amp;MONTH(TODAY())&amp;"."&amp;Veri2!AC$1)-$L8,{0,365,2190,5476},{0,14,20,26}),
IF(AND(YEAR(TODAY())=Veri2!AC$1,TODAY()-VALUE(DAY($L8)&amp;"."&amp;MONTH($L8)&amp;"."&amp;YEAR(TODAY())-1)&lt;365),""))))=14),
IF(OR($I8="",$L8="",Veri2!AC$1&lt;=YEAR($L8),Veri2!AC$1&gt;YEAR(TODAY())),"",IF(AND(Veri2!AC$1-YEAR($L8)&gt;=1,YEAR(TODAY())&lt;&gt;Veri2!AC$1),
LOOKUP(VALUE("31"&amp;"."&amp;"12"&amp;"."&amp;Veri2!AC$1)-$L8,{365,2190,5476},{20,20,26}),
IF(AND(YEAR(TODAY())=Veri2!AC$1,TODAY()-VALUE(DAY($L8)&amp;"."&amp;MONTH($L8)&amp;"."&amp;YEAR(TODAY())-1)&gt;=365),
LOOKUP(VALUE(DAY(TODAY())&amp;"."&amp;MONTH(TODAY())&amp;"."&amp;Veri2!AC$1)-$L8,{0,365,2190,5476},{0,20,20,26}),
IF(AND(YEAR(TODAY())=Veri2!AC$1,TODAY()-VALUE(DAY($L8)&amp;"."&amp;MONTH($L8)&amp;"."&amp;YEAR(TODAY())-1)&lt;365),"")))),
IF(OR($I8="",$L8="",Veri2!AC$1&lt;=YEAR($L8),Veri2!AC$1&gt;YEAR(TODAY())),"",IF(AND(Veri2!AC$1-YEAR($L8)&gt;=1,YEAR(TODAY())&lt;&gt;Veri2!AC$1),
LOOKUP(VALUE("31"&amp;"."&amp;"12"&amp;"."&amp;Veri2!AC$1)-$L8,{365,2190,5476},{14,20,26}),
IF(AND(YEAR(TODAY())=Veri2!AC$1,TODAY()-VALUE(DAY($L8)&amp;"."&amp;MONTH($L8)&amp;"."&amp;YEAR(TODAY())-1)&gt;=365),
LOOKUP(VALUE(DAY(TODAY())&amp;"."&amp;MONTH(TODAY())&amp;"."&amp;Veri2!AC$1)-$L8,{0,365,2190,5476},{0,14,20,26}),
IF(AND(YEAR(TODAY())=Veri2!AC$1,TODAY()-VALUE(DAY($L8)&amp;"."&amp;MONTH($L8)&amp;"."&amp;YEAR(TODAY())-1)&lt;365),"")))))</f>
        <v/>
      </c>
      <c r="AV8" s="48">
        <f ca="1">IFERROR(IF(OR($L8=0, $L8="", DATE(Veri2!AD$1, MONTH($L8), DAY($L8))&lt;=$L8, DATE(Veri2!AD$1, MONTH($L8), DAY($L8))&gt;TODAY()), "", IF((DATEDIF($L8, DATE(Veri2!AD$1, MONTH($L8), DAY($L8)), "y")+$BW8)&lt;1, 0, IF(OR(DATEDIF($M8, DATE(Veri2!AD$1, MONTH($L8), DAY($L8)), "y")&gt;=50, DATEDIF($M8, DATE(Veri2!AD$1, MONTH($L8), DAY($L8)), "y")&lt;=18), IF((DATEDIF($L8, DATE(Veri2!AD$1, MONTH($L8), DAY($L8)), "y")+$BW8)&gt;=15, 26, 20), IF((DATEDIF($L8, DATE(Veri2!AD$1, MONTH($L8), DAY($L8)), "y")+$BW8)&gt;=15, 26, IF((DATEDIF($L8, DATE(Veri2!AD$1, MONTH($L8), DAY($L8)), "y")+$BW8)&gt;=5, 20, 14))))), "")</f>
        <v>14</v>
      </c>
      <c r="AW8" s="48">
        <f ca="1">IFERROR(IF(OR($L8=0, $L8="", DATE(Veri2!AE$1, MONTH($L8), DAY($L8))&lt;=$L8, DATE(Veri2!AE$1, MONTH($L8), DAY($L8))&gt;TODAY()), "",
    IF((DATEDIF($L8, DATE(Veri2!AE$1, MONTH($L8), DAY($L8)), "y")+$BW8)&lt;1, 0,
        IF(OR(DATEDIF($M8, DATE(Veri2!AE$1, MONTH($L8), DAY($L8)), "y")&gt;=50, DATEDIF($M8, DATE(Veri2!AE$1, MONTH($L8), DAY($L8)), "y")&lt;=18),
            IF((DATEDIF($L8, DATE(Veri2!AE$1, MONTH($L8), DAY($L8)), "y")+$BW8)&gt;=15, 26, 20),
            IF((DATEDIF($L8, DATE(Veri2!AE$1, MONTH($L8), DAY($L8)), "y")+$BW8)&gt;=15, 26,
                IF((DATEDIF($L8, DATE(Veri2!AE$1, MONTH($L8), DAY($L8)), "y")+$BW8)&gt;5, 20, 14))
        )
    )
), "")</f>
        <v>14</v>
      </c>
      <c r="AX8" s="48">
        <f ca="1">IFERROR(IF(OR($L8=0, $L8="", DATE(Veri2!AF$1, MONTH($L8), DAY($L8))&lt;=$L8, DATE(Veri2!AF$1, MONTH($L8), DAY($L8))&gt;TODAY()), "",
    IF((DATEDIF($L8, DATE(Veri2!AF$1, MONTH($L8), DAY($L8)), "y")+$BW8)&lt;1, 0,
        IF(OR(DATEDIF($M8, DATE(Veri2!AF$1, MONTH($L8), DAY($L8)), "y")&gt;=50, DATEDIF($M8, DATE(Veri2!AF$1, MONTH($L8), DAY($L8)), "y")&lt;=18),
            IF((DATEDIF($L8, DATE(Veri2!AF$1, MONTH($L8), DAY($L8)), "y")+$BW8)&gt;=15, 26, 20),
            IF((DATEDIF($L8, DATE(Veri2!AF$1, MONTH($L8), DAY($L8)), "y")+$BW8)&gt;=15, 26,
                IF((DATEDIF($L8, DATE(Veri2!AF$1, MONTH($L8), DAY($L8)), "y")+$BW8)&gt;5, 20, 14))
        )
    )
), "")</f>
        <v>14</v>
      </c>
      <c r="AY8" s="48" t="str">
        <f ca="1">IFERROR(IF(OR($L8=0, $L8="", DATE(Veri2!AG$1, MONTH($L8), DAY($L8))&lt;=$L8, DATE(Veri2!AG$1, MONTH($L8), DAY($L8))&gt;TODAY()), "",
    IF((DATEDIF($L8, DATE(Veri2!AG$1, MONTH($L8), DAY($L8)), "y")+$BW8)&lt;1, 0,
        IF(OR(DATEDIF($M8, DATE(Veri2!AG$1, MONTH($L8), DAY($L8)), "y")&gt;=50, DATEDIF($M8, DATE(Veri2!AG$1, MONTH($L8), DAY($L8)), "y")&lt;=18),
            IF((DATEDIF($L8, DATE(Veri2!AG$1, MONTH($L8), DAY($L8)), "y")+$BW8)&gt;=15, 26, 20),
            IF((DATEDIF($L8, DATE(Veri2!AG$1, MONTH($L8), DAY($L8)), "y")+$BW8)&gt;=15, 26,
                IF((DATEDIF($L8, DATE(Veri2!AG$1, MONTH($L8), DAY($L8)), "y")+$BW8)&gt;5, 20, 14))
        )
    )
), "")</f>
        <v/>
      </c>
      <c r="AZ8" s="48" t="str">
        <f ca="1">IFERROR(IF(OR($L8=0, $L8="", DATE(Veri2!AH$1, MONTH($L8), DAY($L8))&lt;=$L8, DATE(Veri2!AH$1, MONTH($L8), DAY($L8))&gt;TODAY()), "",
    IF((DATEDIF($L8, DATE(Veri2!AH$1, MONTH($L8), DAY($L8)), "y")+$BW8)&lt;1, 0,
        IF(OR(DATEDIF($M8, DATE(Veri2!AH$1, MONTH($L8), DAY($L8)), "y")&gt;=50, DATEDIF($M8, DATE(Veri2!AH$1, MONTH($L8), DAY($L8)), "y")&lt;=18),
            IF((DATEDIF($L8, DATE(Veri2!AH$1, MONTH($L8), DAY($L8)), "y")+$BW8)&gt;=15, 26, 20),
            IF((DATEDIF($L8, DATE(Veri2!AH$1, MONTH($L8), DAY($L8)), "y")+$BW8)&gt;=15, 26,
                IF((DATEDIF($L8, DATE(Veri2!AH$1, MONTH($L8), DAY($L8)), "y")+$BW8)&gt;5, 20, 14))
        )
    )
), "")</f>
        <v/>
      </c>
      <c r="BA8" s="48" t="str">
        <f ca="1">IFERROR(IF(OR($L8=0, $L8="", DATE(Veri2!AI$1, MONTH($L8), DAY($L8))&lt;=$L8, DATE(Veri2!AI$1, MONTH($L8), DAY($L8))&gt;TODAY()), "",
    IF((DATEDIF($L8, DATE(Veri2!AI$1, MONTH($L8), DAY($L8)), "y")+$BW8)&lt;1, 0,
        IF(OR(DATEDIF($M8, DATE(Veri2!AI$1, MONTH($L8), DAY($L8)), "y")&gt;=50, DATEDIF($M8, DATE(Veri2!AI$1, MONTH($L8), DAY($L8)), "y")&lt;=18),
            IF((DATEDIF($L8, DATE(Veri2!AI$1, MONTH($L8), DAY($L8)), "y")+$BW8)&gt;=15, 26, 20),
            IF((DATEDIF($L8, DATE(Veri2!AI$1, MONTH($L8), DAY($L8)), "y")+$BW8)&gt;=15, 26,
                IF((DATEDIF($L8, DATE(Veri2!AI$1, MONTH($L8), DAY($L8)), "y")+$BW8)&gt;5, 20, 14))
        )
    )
), "")</f>
        <v/>
      </c>
      <c r="BB8" s="48" t="str">
        <f ca="1">IFERROR(IF(OR($L8=0, $L8="", DATE(Veri2!AJ$1, MONTH($L8), DAY($L8))&lt;=$L8, DATE(Veri2!AJ$1, MONTH($L8), DAY($L8))&gt;TODAY()), "",
    IF((DATEDIF($L8, DATE(Veri2!AJ$1, MONTH($L8), DAY($L8)), "y")+$BW8)&lt;1, 0,
        IF(OR(DATEDIF($M8, DATE(Veri2!AJ$1, MONTH($L8), DAY($L8)), "y")&gt;=50, DATEDIF($M8, DATE(Veri2!AJ$1, MONTH($L8), DAY($L8)), "y")&lt;=18),
            IF((DATEDIF($L8, DATE(Veri2!AJ$1, MONTH($L8), DAY($L8)), "y")+$BW8)&gt;=15, 26, 20),
            IF((DATEDIF($L8, DATE(Veri2!AJ$1, MONTH($L8), DAY($L8)), "y")+$BW8)&gt;=15, 26,
                IF((DATEDIF($L8, DATE(Veri2!AJ$1, MONTH($L8), DAY($L8)), "y")+$BW8)&gt;5, 20, 14))
        )
    )
), "")</f>
        <v/>
      </c>
      <c r="BC8" s="48" t="str">
        <f ca="1">IFERROR(IF(OR($L8=0, $L8="", DATE(Veri2!AK$1, MONTH($L8), DAY($L8))&lt;=$L8, DATE(Veri2!AK$1, MONTH($L8), DAY($L8))&gt;TODAY()), "",
    IF((DATEDIF($L8, DATE(Veri2!AK$1, MONTH($L8), DAY($L8)), "y")+$BW8)&lt;1, 0,
        IF(OR(DATEDIF($M8, DATE(Veri2!AK$1, MONTH($L8), DAY($L8)), "y")&gt;=50, DATEDIF($M8, DATE(Veri2!AK$1, MONTH($L8), DAY($L8)), "y")&lt;=18),
            IF((DATEDIF($L8, DATE(Veri2!AK$1, MONTH($L8), DAY($L8)), "y")+$BW8)&gt;=15, 26, 20),
            IF((DATEDIF($L8, DATE(Veri2!AK$1, MONTH($L8), DAY($L8)), "y")+$BW8)&gt;=15, 26,
                IF((DATEDIF($L8, DATE(Veri2!AK$1, MONTH($L8), DAY($L8)), "y")+$BW8)&gt;5, 20, 14))
        )
    )
), "")</f>
        <v/>
      </c>
      <c r="BD8" s="48" t="str">
        <f ca="1">IFERROR(IF(OR($L8=0, $L8="", DATE(Veri2!AL$1, MONTH($L8), DAY($L8))&lt;=$L8, DATE(Veri2!AL$1, MONTH($L8), DAY($L8))&gt;TODAY()), "",
    IF((DATEDIF($L8, DATE(Veri2!AL$1, MONTH($L8), DAY($L8)), "y")+$BW8)&lt;1, 0,
        IF(OR(DATEDIF($M8, DATE(Veri2!AL$1, MONTH($L8), DAY($L8)), "y")&gt;=50, DATEDIF($M8, DATE(Veri2!AL$1, MONTH($L8), DAY($L8)), "y")&lt;=18),
            IF((DATEDIF($L8, DATE(Veri2!AL$1, MONTH($L8), DAY($L8)), "y")+$BW8)&gt;=15, 26, 20),
            IF((DATEDIF($L8, DATE(Veri2!AL$1, MONTH($L8), DAY($L8)), "y")+$BW8)&gt;=15, 26,
                IF((DATEDIF($L8, DATE(Veri2!AL$1, MONTH($L8), DAY($L8)), "y")+$BW8)&gt;5, 20, 14))
        )
    )
), "")</f>
        <v/>
      </c>
      <c r="BE8" s="48" t="str">
        <f ca="1">IFERROR(IF(OR($L8=0, $L8="", DATE(Veri2!AM$1, MONTH($L8), DAY($L8))&lt;=$L8, DATE(Veri2!AM$1, MONTH($L8), DAY($L8))&gt;TODAY()), "",
    IF((DATEDIF($L8, DATE(Veri2!AM$1, MONTH($L8), DAY($L8)), "y")+$BW8)&lt;1, 0,
        IF(OR(DATEDIF($M8, DATE(Veri2!AM$1, MONTH($L8), DAY($L8)), "y")&gt;=50, DATEDIF($M8, DATE(Veri2!AM$1, MONTH($L8), DAY($L8)), "y")&lt;=18),
            IF((DATEDIF($L8, DATE(Veri2!AM$1, MONTH($L8), DAY($L8)), "y")+$BW8)&gt;=15, 26, 20),
            IF((DATEDIF($L8, DATE(Veri2!AM$1, MONTH($L8), DAY($L8)), "y")+$BW8)&gt;=15, 26,
                IF((DATEDIF($L8, DATE(Veri2!AM$1, MONTH($L8), DAY($L8)), "y")+$BW8)&gt;5, 20, 14))
        )
    )
), "")</f>
        <v/>
      </c>
      <c r="BF8" s="48" t="str">
        <f ca="1">IFERROR(IF(OR($L8=0, $L8="", DATE(Veri2!AN$1, MONTH($L8), DAY($L8))&lt;=$L8, DATE(Veri2!AN$1, MONTH($L8), DAY($L8))&gt;TODAY()), "",
    IF((DATEDIF($L8, DATE(Veri2!AN$1, MONTH($L8), DAY($L8)), "y")+$BW8)&lt;1, 0,
        IF(OR(DATEDIF($M8, DATE(Veri2!AN$1, MONTH($L8), DAY($L8)), "y")&gt;=50, DATEDIF($M8, DATE(Veri2!AN$1, MONTH($L8), DAY($L8)), "y")&lt;=18),
            IF((DATEDIF($L8, DATE(Veri2!AN$1, MONTH($L8), DAY($L8)), "y")+$BW8)&gt;=15, 26, 20),
            IF((DATEDIF($L8, DATE(Veri2!AN$1, MONTH($L8), DAY($L8)), "y")+$BW8)&gt;=15, 26,
                IF((DATEDIF($L8, DATE(Veri2!AN$1, MONTH($L8), DAY($L8)), "y")+$BW8)&gt;5, 20, 14))
        )
    )
), "")</f>
        <v/>
      </c>
      <c r="BG8" s="48" t="str">
        <f ca="1">IFERROR(IF(OR($L8=0, $L8="", DATE(Veri2!AO$1, MONTH($L8), DAY($L8))&lt;=$L8, DATE(Veri2!AO$1, MONTH($L8), DAY($L8))&gt;TODAY()), "",
    IF((DATEDIF($L8, DATE(Veri2!AO$1, MONTH($L8), DAY($L8)), "y")+$BW8)&lt;1, 0,
        IF(OR(DATEDIF($M8, DATE(Veri2!AO$1, MONTH($L8), DAY($L8)), "y")&gt;=50, DATEDIF($M8, DATE(Veri2!AO$1, MONTH($L8), DAY($L8)), "y")&lt;=18),
            IF((DATEDIF($L8, DATE(Veri2!AO$1, MONTH($L8), DAY($L8)), "y")+$BW8)&gt;=15, 26, 20),
            IF((DATEDIF($L8, DATE(Veri2!AO$1, MONTH($L8), DAY($L8)), "y")+$BW8)&gt;=15, 26,
                IF((DATEDIF($L8, DATE(Veri2!AO$1, MONTH($L8), DAY($L8)), "y")+$BW8)&gt;5, 20, 14))
        )
    )
), "")</f>
        <v/>
      </c>
      <c r="BH8" s="48" t="str">
        <f ca="1">IFERROR(IF(OR($L8=0, $L8="", DATE(Veri2!AP$1, MONTH($L8), DAY($L8))&lt;=$L8, DATE(Veri2!AP$1, MONTH($L8), DAY($L8))&gt;TODAY()), "",
    IF((DATEDIF($L8, DATE(Veri2!AP$1, MONTH($L8), DAY($L8)), "y")+$BW8)&lt;1, 0,
        IF(OR(DATEDIF($M8, DATE(Veri2!AP$1, MONTH($L8), DAY($L8)), "y")&gt;=50, DATEDIF($M8, DATE(Veri2!AP$1, MONTH($L8), DAY($L8)), "y")&lt;=18),
            IF((DATEDIF($L8, DATE(Veri2!AP$1, MONTH($L8), DAY($L8)), "y")+$BW8)&gt;=15, 26, 20),
            IF((DATEDIF($L8, DATE(Veri2!AP$1, MONTH($L8), DAY($L8)), "y")+$BW8)&gt;=15, 26,
                IF((DATEDIF($L8, DATE(Veri2!AP$1, MONTH($L8), DAY($L8)), "y")+$BW8)&gt;5, 20, 14))
        )
    )
), "")</f>
        <v/>
      </c>
      <c r="BI8" s="48" t="str">
        <f ca="1">IFERROR(IF(OR($L8=0, $L8="", DATE(Veri2!AQ$1, MONTH($L8), DAY($L8))&lt;=$L8, DATE(Veri2!AQ$1, MONTH($L8), DAY($L8))&gt;TODAY()), "",
    IF((DATEDIF($L8, DATE(Veri2!AQ$1, MONTH($L8), DAY($L8)), "y")+$BW8)&lt;1, 0,
        IF(OR(DATEDIF($M8, DATE(Veri2!AQ$1, MONTH($L8), DAY($L8)), "y")&gt;=50, DATEDIF($M8, DATE(Veri2!AQ$1, MONTH($L8), DAY($L8)), "y")&lt;=18),
            IF((DATEDIF($L8, DATE(Veri2!AQ$1, MONTH($L8), DAY($L8)), "y")+$BW8)&gt;=15, 26, 20),
            IF((DATEDIF($L8, DATE(Veri2!AQ$1, MONTH($L8), DAY($L8)), "y")+$BW8)&gt;=15, 26,
                IF((DATEDIF($L8, DATE(Veri2!AQ$1, MONTH($L8), DAY($L8)), "y")+$BW8)&gt;5, 20, 14))
        )
    )
), "")</f>
        <v/>
      </c>
      <c r="BJ8" s="48" t="str">
        <f ca="1">IFERROR(IF(OR($L8=0, $L8="", DATE(Veri2!AR$1, MONTH($L8), DAY($L8))&lt;=$L8, DATE(Veri2!AR$1, MONTH($L8), DAY($L8))&gt;TODAY()), "",
    IF((DATEDIF($L8, DATE(Veri2!AR$1, MONTH($L8), DAY($L8)), "y")+$BW8)&lt;1, 0,
        IF(OR(DATEDIF($M8, DATE(Veri2!AR$1, MONTH($L8), DAY($L8)), "y")&gt;=50, DATEDIF($M8, DATE(Veri2!AR$1, MONTH($L8), DAY($L8)), "y")&lt;=18),
            IF((DATEDIF($L8, DATE(Veri2!AR$1, MONTH($L8), DAY($L8)), "y")+$BW8)&gt;=15, 26, 20),
            IF((DATEDIF($L8, DATE(Veri2!AR$1, MONTH($L8), DAY($L8)), "y")+$BW8)&gt;=15, 26,
                IF((DATEDIF($L8, DATE(Veri2!AR$1, MONTH($L8), DAY($L8)), "y")+$BW8)&gt;5, 20, 14))
        )
    )
), "")</f>
        <v/>
      </c>
      <c r="BK8" s="48" t="str">
        <f ca="1">IFERROR(IF(OR($L8=0, $L8="", DATE(Veri2!AS$1, MONTH($L8), DAY($L8))&lt;=$L8, DATE(Veri2!AS$1, MONTH($L8), DAY($L8))&gt;TODAY()), "",
    IF((DATEDIF($L8, DATE(Veri2!AS$1, MONTH($L8), DAY($L8)), "y")+$BW8)&lt;1, 0,
        IF(OR(DATEDIF($M8, DATE(Veri2!AS$1, MONTH($L8), DAY($L8)), "y")&gt;=50, DATEDIF($M8, DATE(Veri2!AS$1, MONTH($L8), DAY($L8)), "y")&lt;=18),
            IF((DATEDIF($L8, DATE(Veri2!AS$1, MONTH($L8), DAY($L8)), "y")+$BW8)&gt;=15, 26, 20),
            IF((DATEDIF($L8, DATE(Veri2!AS$1, MONTH($L8), DAY($L8)), "y")+$BW8)&gt;=15, 26,
                IF((DATEDIF($L8, DATE(Veri2!AS$1, MONTH($L8), DAY($L8)), "y")+$BW8)&gt;5, 20, 14))
        )
    )
), "")</f>
        <v/>
      </c>
      <c r="BL8" s="48" t="str">
        <f ca="1">IFERROR(IF(OR($L8=0, $L8="", DATE(Veri2!AT$1, MONTH($L8), DAY($L8))&lt;=$L8, DATE(Veri2!AT$1, MONTH($L8), DAY($L8))&gt;TODAY()), "",
    IF((DATEDIF($L8, DATE(Veri2!AT$1, MONTH($L8), DAY($L8)), "y")+$BW8)&lt;1, 0,
        IF(OR(DATEDIF($M8, DATE(Veri2!AT$1, MONTH($L8), DAY($L8)), "y")&gt;=50, DATEDIF($M8, DATE(Veri2!AT$1, MONTH($L8), DAY($L8)), "y")&lt;=18),
            IF((DATEDIF($L8, DATE(Veri2!AT$1, MONTH($L8), DAY($L8)), "y")+$BW8)&gt;=15, 26, 20),
            IF((DATEDIF($L8, DATE(Veri2!AT$1, MONTH($L8), DAY($L8)), "y")+$BW8)&gt;=15, 26,
                IF((DATEDIF($L8, DATE(Veri2!AT$1, MONTH($L8), DAY($L8)), "y")+$BW8)&gt;5, 20, 14))
        )
    )
), "")</f>
        <v/>
      </c>
      <c r="BM8" s="48" t="str">
        <f ca="1">IFERROR(IF(OR($L8=0, $L8="", DATE(Veri2!AU$1, MONTH($L8), DAY($L8))&lt;=$L8, DATE(Veri2!AU$1, MONTH($L8), DAY($L8))&gt;TODAY()), "",
    IF((DATEDIF($L8, DATE(Veri2!AU$1, MONTH($L8), DAY($L8)), "y")+$BW8)&lt;1, 0,
        IF(OR(DATEDIF($M8, DATE(Veri2!AU$1, MONTH($L8), DAY($L8)), "y")&gt;=50, DATEDIF($M8, DATE(Veri2!AU$1, MONTH($L8), DAY($L8)), "y")&lt;=18),
            IF((DATEDIF($L8, DATE(Veri2!AU$1, MONTH($L8), DAY($L8)), "y")+$BW8)&gt;=15, 26, 20),
            IF((DATEDIF($L8, DATE(Veri2!AU$1, MONTH($L8), DAY($L8)), "y")+$BW8)&gt;=15, 26,
                IF((DATEDIF($L8, DATE(Veri2!AU$1, MONTH($L8), DAY($L8)), "y")+$BW8)&gt;5, 20, 14))
        )
    )
), "")</f>
        <v/>
      </c>
      <c r="BN8" s="48" t="str">
        <f ca="1">IFERROR(IF(OR($L8=0, $L8="", DATE(Veri2!AV$1, MONTH($L8), DAY($L8))&lt;=$L8, DATE(Veri2!AV$1, MONTH($L8), DAY($L8))&gt;TODAY()), "",
    IF((DATEDIF($L8, DATE(Veri2!AV$1, MONTH($L8), DAY($L8)), "y")+$BW8)&lt;1, 0,
        IF(OR(DATEDIF($M8, DATE(Veri2!AV$1, MONTH($L8), DAY($L8)), "y")&gt;=50, DATEDIF($M8, DATE(Veri2!AV$1, MONTH($L8), DAY($L8)), "y")&lt;=18),
            IF((DATEDIF($L8, DATE(Veri2!AV$1, MONTH($L8), DAY($L8)), "y")+$BW8)&gt;=15, 26, 20),
            IF((DATEDIF($L8, DATE(Veri2!AV$1, MONTH($L8), DAY($L8)), "y")+$BW8)&gt;=15, 26,
                IF((DATEDIF($L8, DATE(Veri2!AV$1, MONTH($L8), DAY($L8)), "y")+$BW8)&gt;5, 20, 14))
        )
    )
), "")</f>
        <v/>
      </c>
      <c r="BO8" s="48" t="str">
        <f ca="1">IFERROR(IF(OR($L8=0, $L8="", DATE(Veri2!AW$1, MONTH($L8), DAY($L8))&lt;=$L8, DATE(Veri2!AW$1, MONTH($L8), DAY($L8))&gt;TODAY()), "",
    IF((DATEDIF($L8, DATE(Veri2!AW$1, MONTH($L8), DAY($L8)), "y")+$BW8)&lt;1, 0,
        IF(OR(DATEDIF($M8, DATE(Veri2!AW$1, MONTH($L8), DAY($L8)), "y")&gt;=50, DATEDIF($M8, DATE(Veri2!AW$1, MONTH($L8), DAY($L8)), "y")&lt;=18),
            IF((DATEDIF($L8, DATE(Veri2!AW$1, MONTH($L8), DAY($L8)), "y")+$BW8)&gt;=15, 26, 20),
            IF((DATEDIF($L8, DATE(Veri2!AW$1, MONTH($L8), DAY($L8)), "y")+$BW8)&gt;=15, 26,
                IF((DATEDIF($L8, DATE(Veri2!AW$1, MONTH($L8), DAY($L8)), "y")+$BW8)&gt;5, 20, 14))
        )
    )
), "")</f>
        <v/>
      </c>
      <c r="BP8" s="48" t="str">
        <f ca="1">IFERROR(IF(OR($L8=0, $L8="", DATE(Veri2!AX$1, MONTH($L8), DAY($L8))&lt;=$L8, DATE(Veri2!AX$1, MONTH($L8), DAY($L8))&gt;TODAY()), "",
    IF((DATEDIF($L8, DATE(Veri2!AX$1, MONTH($L8), DAY($L8)), "y")+$BW8)&lt;1, 0,
        IF(OR(DATEDIF($M8, DATE(Veri2!AX$1, MONTH($L8), DAY($L8)), "y")&gt;=50, DATEDIF($M8, DATE(Veri2!AX$1, MONTH($L8), DAY($L8)), "y")&lt;=18),
            IF((DATEDIF($L8, DATE(Veri2!AX$1, MONTH($L8), DAY($L8)), "y")+$BW8)&gt;=15, 26, 20),
            IF((DATEDIF($L8, DATE(Veri2!AX$1, MONTH($L8), DAY($L8)), "y")+$BW8)&gt;=15, 26,
                IF((DATEDIF($L8, DATE(Veri2!AX$1, MONTH($L8), DAY($L8)), "y")+$BW8)&gt;5, 20, 14))
        )
    )
), "")</f>
        <v/>
      </c>
      <c r="BQ8" s="48" t="str">
        <f ca="1">IFERROR(IF(OR($L8=0, $L8="", DATE(Veri2!AY$1, MONTH($L8), DAY($L8))&lt;=$L8, DATE(Veri2!AY$1, MONTH($L8), DAY($L8))&gt;TODAY()), "",
    IF((DATEDIF($L8, DATE(Veri2!AY$1, MONTH($L8), DAY($L8)), "y")+$BW8)&lt;1, 0,
        IF(OR(DATEDIF($M8, DATE(Veri2!AY$1, MONTH($L8), DAY($L8)), "y")&gt;=50, DATEDIF($M8, DATE(Veri2!AY$1, MONTH($L8), DAY($L8)), "y")&lt;=18),
            IF((DATEDIF($L8, DATE(Veri2!AY$1, MONTH($L8), DAY($L8)), "y")+$BW8)&gt;=15, 26, 20),
            IF((DATEDIF($L8, DATE(Veri2!AY$1, MONTH($L8), DAY($L8)), "y")+$BW8)&gt;=15, 26,
                IF((DATEDIF($L8, DATE(Veri2!AY$1, MONTH($L8), DAY($L8)), "y")+$BW8)&gt;5, 20, 14))
        )
    )
), "")</f>
        <v/>
      </c>
      <c r="BR8" s="48" t="str">
        <f ca="1">IFERROR(IF(OR($L8=0, $L8="", DATE(Veri2!AZ$1, MONTH($L8), DAY($L8))&lt;=$L8, DATE(Veri2!AZ$1, MONTH($L8), DAY($L8))&gt;TODAY()), "",
    IF((DATEDIF($L8, DATE(Veri2!AZ$1, MONTH($L8), DAY($L8)), "y")+$BW8)&lt;1, 0,
        IF(OR(DATEDIF($M8, DATE(Veri2!AZ$1, MONTH($L8), DAY($L8)), "y")&gt;=50, DATEDIF($M8, DATE(Veri2!AZ$1, MONTH($L8), DAY($L8)), "y")&lt;=18),
            IF((DATEDIF($L8, DATE(Veri2!AZ$1, MONTH($L8), DAY($L8)), "y")+$BW8)&gt;=15, 26, 20),
            IF((DATEDIF($L8, DATE(Veri2!AZ$1, MONTH($L8), DAY($L8)), "y")+$BW8)&gt;=15, 26,
                IF((DATEDIF($L8, DATE(Veri2!AZ$1, MONTH($L8), DAY($L8)), "y")+$BW8)&gt;5, 20, 14))
        )
    )
), "")</f>
        <v/>
      </c>
      <c r="BS8" s="48" t="str">
        <f ca="1">IFERROR(IF(OR($L8=0, $L8="", DATE(Veri2!BA$1, MONTH($L8), DAY($L8))&lt;=$L8, DATE(Veri2!BA$1, MONTH($L8), DAY($L8))&gt;TODAY()), "",
    IF((DATEDIF($L8, DATE(Veri2!BA$1, MONTH($L8), DAY($L8)), "y")+$BW8)&lt;1, 0,
        IF(OR(DATEDIF($M8, DATE(Veri2!BA$1, MONTH($L8), DAY($L8)), "y")&gt;=50, DATEDIF($M8, DATE(Veri2!BA$1, MONTH($L8), DAY($L8)), "y")&lt;=18),
            IF((DATEDIF($L8, DATE(Veri2!BA$1, MONTH($L8), DAY($L8)), "y")+$BW8)&gt;=15, 26, 20),
            IF((DATEDIF($L8, DATE(Veri2!BA$1, MONTH($L8), DAY($L8)), "y")+$BW8)&gt;=15, 26,
                IF((DATEDIF($L8, DATE(Veri2!BA$1, MONTH($L8), DAY($L8)), "y")+$BW8)&gt;5, 20, 14))
        )
    )
), "")</f>
        <v/>
      </c>
      <c r="BT8" s="48" t="str">
        <f ca="1">IFERROR(IF(OR($L8=0, $L8="", DATE(Veri2!BB$1, MONTH($L8), DAY($L8))&lt;=$L8, DATE(Veri2!BB$1, MONTH($L8), DAY($L8))&gt;TODAY()), "",
    IF((DATEDIF($L8, DATE(Veri2!BB$1, MONTH($L8), DAY($L8)), "y")+$BW8)&lt;1, 0,
        IF(OR(DATEDIF($M8, DATE(Veri2!BB$1, MONTH($L8), DAY($L8)), "y")&gt;=50, DATEDIF($M8, DATE(Veri2!BB$1, MONTH($L8), DAY($L8)), "y")&lt;=18),
            IF((DATEDIF($L8, DATE(Veri2!BB$1, MONTH($L8), DAY($L8)), "y")+$BW8)&gt;=15, 26, 20),
            IF((DATEDIF($L8, DATE(Veri2!BB$1, MONTH($L8), DAY($L8)), "y")+$BW8)&gt;=15, 26,
                IF((DATEDIF($L8, DATE(Veri2!BB$1, MONTH($L8), DAY($L8)), "y")+$BW8)&gt;5, 20, 14))
        )
    )
), "")</f>
        <v/>
      </c>
      <c r="BU8" s="48" t="str">
        <f ca="1">IFERROR(IF(OR($L8=0, $L8="", DATE(Veri2!BC$1, MONTH($L8), DAY($L8))&lt;=$L8, DATE(Veri2!BC$1, MONTH($L8), DAY($L8))&gt;TODAY()), "",
    IF((DATEDIF($L8, DATE(Veri2!BC$1, MONTH($L8), DAY($L8)), "y")+$BW8)&lt;1, 0,
        IF(OR(DATEDIF($M8, DATE(Veri2!BC$1, MONTH($L8), DAY($L8)), "y")&gt;=50, DATEDIF($M8, DATE(Veri2!BC$1, MONTH($L8), DAY($L8)), "y")&lt;=18),
            IF((DATEDIF($L8, DATE(Veri2!BC$1, MONTH($L8), DAY($L8)), "y")+$BW8)&gt;=15, 26, 20),
            IF((DATEDIF($L8, DATE(Veri2!BC$1, MONTH($L8), DAY($L8)), "y")+$BW8)&gt;=15, 26,
                IF((DATEDIF($L8, DATE(Veri2!BC$1, MONTH($L8), DAY($L8)), "y")+$BW8)&gt;5, 20, 14))
        )
    )
), "")</f>
        <v/>
      </c>
      <c r="BV8" s="48" t="str">
        <f ca="1">IFERROR(IF(OR($L8=0, $L8="", DATE(Veri2!BD$1, MONTH($L8), DAY($L8))&lt;=$L8, DATE(Veri2!BD$1, MONTH($L8), DAY($L8))&gt;TODAY()), "",
    IF((DATEDIF($L8, DATE(Veri2!BD$1, MONTH($L8), DAY($L8)), "y")+$BW8)&lt;1, 0,
        IF(OR(DATEDIF($M8, DATE(Veri2!BD$1, MONTH($L8), DAY($L8)), "y")&gt;=50, DATEDIF($M8, DATE(Veri2!BD$1, MONTH($L8), DAY($L8)), "y")&lt;=18),
            IF((DATEDIF($L8, DATE(Veri2!BD$1, MONTH($L8), DAY($L8)), "y")+$BW8)&gt;=15, 26, 20),
            IF((DATEDIF($L8, DATE(Veri2!BD$1, MONTH($L8), DAY($L8)), "y")+$BW8)&gt;=15, 26,
                IF((DATEDIF($L8, DATE(Veri2!BD$1, MONTH($L8), DAY($L8)), "y")+$BW8)&gt;5, 20, 14))
        )
    )
), "")</f>
        <v/>
      </c>
      <c r="BW8" s="35">
        <v>0</v>
      </c>
    </row>
    <row r="9" spans="7:81" x14ac:dyDescent="0.25">
      <c r="L9" s="39"/>
      <c r="M9" s="39"/>
    </row>
    <row r="10" spans="7:81" x14ac:dyDescent="0.25">
      <c r="L10" s="39"/>
      <c r="M10" s="39"/>
    </row>
    <row r="11" spans="7:81" x14ac:dyDescent="0.25">
      <c r="L11" s="39"/>
      <c r="M11" s="39"/>
    </row>
    <row r="12" spans="7:81" x14ac:dyDescent="0.25">
      <c r="L12" s="39"/>
      <c r="M12" s="39"/>
    </row>
    <row r="13" spans="7:81" x14ac:dyDescent="0.25">
      <c r="L13" s="39"/>
      <c r="M13" s="39"/>
    </row>
    <row r="14" spans="7:81" x14ac:dyDescent="0.25">
      <c r="L14" s="39"/>
      <c r="M14" s="39"/>
    </row>
    <row r="15" spans="7:81" x14ac:dyDescent="0.25">
      <c r="L15" s="39"/>
      <c r="M15" s="39"/>
    </row>
    <row r="16" spans="7:81" x14ac:dyDescent="0.25">
      <c r="L16" s="39"/>
      <c r="M16" s="39"/>
    </row>
    <row r="17" spans="12:13" x14ac:dyDescent="0.25">
      <c r="L17" s="39"/>
      <c r="M17" s="39"/>
    </row>
    <row r="18" spans="12:13" x14ac:dyDescent="0.25">
      <c r="L18" s="39"/>
      <c r="M18" s="39"/>
    </row>
    <row r="19" spans="12:13" x14ac:dyDescent="0.25">
      <c r="L19" s="39"/>
      <c r="M19" s="39"/>
    </row>
    <row r="20" spans="12:13" x14ac:dyDescent="0.25">
      <c r="L20" s="39"/>
      <c r="M20" s="39"/>
    </row>
    <row r="21" spans="12:13" x14ac:dyDescent="0.25">
      <c r="L21" s="39"/>
      <c r="M21" s="39"/>
    </row>
    <row r="22" spans="12:13" x14ac:dyDescent="0.25">
      <c r="L22" s="39"/>
      <c r="M22" s="39"/>
    </row>
    <row r="23" spans="12:13" x14ac:dyDescent="0.25">
      <c r="L23" s="39"/>
      <c r="M23" s="39"/>
    </row>
    <row r="24" spans="12:13" x14ac:dyDescent="0.25">
      <c r="L24" s="39"/>
      <c r="M24" s="39"/>
    </row>
    <row r="25" spans="12:13" x14ac:dyDescent="0.25">
      <c r="L25" s="39"/>
      <c r="M25" s="39"/>
    </row>
    <row r="26" spans="12:13" x14ac:dyDescent="0.25">
      <c r="L26" s="39"/>
      <c r="M26" s="39"/>
    </row>
    <row r="27" spans="12:13" x14ac:dyDescent="0.25">
      <c r="L27" s="39"/>
      <c r="M27" s="39"/>
    </row>
    <row r="28" spans="12:13" x14ac:dyDescent="0.25">
      <c r="L28" s="39"/>
      <c r="M28" s="39"/>
    </row>
    <row r="29" spans="12:13" x14ac:dyDescent="0.25">
      <c r="L29" s="39"/>
      <c r="M29" s="39"/>
    </row>
    <row r="30" spans="12:13" x14ac:dyDescent="0.25">
      <c r="L30" s="39"/>
      <c r="M30" s="39"/>
    </row>
    <row r="31" spans="12:13" x14ac:dyDescent="0.25">
      <c r="L31" s="39"/>
      <c r="M31" s="39"/>
    </row>
    <row r="32" spans="12:13" x14ac:dyDescent="0.25">
      <c r="L32" s="39"/>
      <c r="M32" s="39"/>
    </row>
    <row r="33" spans="12:13" x14ac:dyDescent="0.25">
      <c r="L33" s="39"/>
      <c r="M33" s="39"/>
    </row>
    <row r="34" spans="12:13" x14ac:dyDescent="0.25">
      <c r="L34" s="39"/>
      <c r="M34" s="39"/>
    </row>
    <row r="35" spans="12:13" x14ac:dyDescent="0.25">
      <c r="L35" s="39"/>
      <c r="M35" s="39"/>
    </row>
    <row r="36" spans="12:13" x14ac:dyDescent="0.25">
      <c r="L36" s="39"/>
      <c r="M36" s="39"/>
    </row>
    <row r="37" spans="12:13" x14ac:dyDescent="0.25">
      <c r="L37" s="39"/>
      <c r="M37" s="39"/>
    </row>
    <row r="38" spans="12:13" x14ac:dyDescent="0.25">
      <c r="L38" s="39"/>
      <c r="M38" s="39"/>
    </row>
    <row r="39" spans="12:13" x14ac:dyDescent="0.25">
      <c r="L39" s="39"/>
      <c r="M39" s="39"/>
    </row>
    <row r="40" spans="12:13" x14ac:dyDescent="0.25">
      <c r="L40" s="39"/>
      <c r="M40" s="39"/>
    </row>
    <row r="41" spans="12:13" x14ac:dyDescent="0.25">
      <c r="L41" s="39"/>
      <c r="M41" s="39"/>
    </row>
    <row r="42" spans="12:13" x14ac:dyDescent="0.25">
      <c r="L42" s="39"/>
      <c r="M42" s="39"/>
    </row>
    <row r="43" spans="12:13" x14ac:dyDescent="0.25">
      <c r="L43" s="39"/>
      <c r="M43" s="39"/>
    </row>
    <row r="44" spans="12:13" x14ac:dyDescent="0.25">
      <c r="L44" s="39"/>
      <c r="M44" s="39"/>
    </row>
    <row r="45" spans="12:13" x14ac:dyDescent="0.25">
      <c r="L45" s="39"/>
      <c r="M45" s="39"/>
    </row>
    <row r="46" spans="12:13" x14ac:dyDescent="0.25">
      <c r="L46" s="39"/>
      <c r="M46" s="39"/>
    </row>
    <row r="47" spans="12:13" x14ac:dyDescent="0.25">
      <c r="L47" s="39"/>
      <c r="M47" s="39"/>
    </row>
    <row r="48" spans="12:13" x14ac:dyDescent="0.25">
      <c r="L48" s="39"/>
      <c r="M48" s="39"/>
    </row>
    <row r="49" spans="12:13" x14ac:dyDescent="0.25">
      <c r="L49" s="39"/>
      <c r="M49" s="39"/>
    </row>
    <row r="50" spans="12:13" x14ac:dyDescent="0.25">
      <c r="L50" s="39"/>
      <c r="M50" s="39"/>
    </row>
    <row r="51" spans="12:13" x14ac:dyDescent="0.25">
      <c r="L51" s="39"/>
      <c r="M51" s="39"/>
    </row>
    <row r="52" spans="12:13" x14ac:dyDescent="0.25">
      <c r="L52" s="39"/>
      <c r="M52" s="39"/>
    </row>
    <row r="53" spans="12:13" x14ac:dyDescent="0.25">
      <c r="L53" s="39"/>
      <c r="M53" s="39"/>
    </row>
    <row r="54" spans="12:13" x14ac:dyDescent="0.25">
      <c r="L54" s="39"/>
      <c r="M54" s="39"/>
    </row>
    <row r="55" spans="12:13" x14ac:dyDescent="0.25">
      <c r="L55" s="39"/>
      <c r="M55" s="39"/>
    </row>
    <row r="56" spans="12:13" x14ac:dyDescent="0.25">
      <c r="L56" s="39"/>
      <c r="M56" s="39"/>
    </row>
    <row r="57" spans="12:13" x14ac:dyDescent="0.25">
      <c r="L57" s="39"/>
      <c r="M57" s="39"/>
    </row>
    <row r="58" spans="12:13" x14ac:dyDescent="0.25">
      <c r="L58" s="39"/>
      <c r="M58" s="39"/>
    </row>
    <row r="59" spans="12:13" x14ac:dyDescent="0.25">
      <c r="L59" s="39"/>
      <c r="M59" s="39"/>
    </row>
    <row r="60" spans="12:13" x14ac:dyDescent="0.25">
      <c r="L60" s="39"/>
      <c r="M60" s="39"/>
    </row>
    <row r="61" spans="12:13" x14ac:dyDescent="0.25">
      <c r="L61" s="39"/>
      <c r="M61" s="39"/>
    </row>
    <row r="62" spans="12:13" x14ac:dyDescent="0.25">
      <c r="L62" s="39"/>
      <c r="M62" s="39"/>
    </row>
    <row r="63" spans="12:13" x14ac:dyDescent="0.25">
      <c r="L63" s="39"/>
      <c r="M63" s="39"/>
    </row>
    <row r="64" spans="12:13" x14ac:dyDescent="0.25">
      <c r="L64" s="39"/>
      <c r="M64" s="39"/>
    </row>
    <row r="65" spans="12:13" x14ac:dyDescent="0.25">
      <c r="L65" s="39"/>
      <c r="M65" s="39"/>
    </row>
    <row r="66" spans="12:13" x14ac:dyDescent="0.25">
      <c r="L66" s="39"/>
      <c r="M66" s="39"/>
    </row>
    <row r="67" spans="12:13" x14ac:dyDescent="0.25">
      <c r="L67" s="39"/>
      <c r="M67" s="39"/>
    </row>
    <row r="68" spans="12:13" x14ac:dyDescent="0.25">
      <c r="L68" s="39"/>
      <c r="M68" s="39"/>
    </row>
    <row r="69" spans="12:13" x14ac:dyDescent="0.25">
      <c r="L69" s="39"/>
      <c r="M69" s="39"/>
    </row>
    <row r="70" spans="12:13" x14ac:dyDescent="0.25">
      <c r="L70" s="39"/>
      <c r="M70" s="39"/>
    </row>
    <row r="71" spans="12:13" x14ac:dyDescent="0.25">
      <c r="L71" s="39"/>
      <c r="M71" s="39"/>
    </row>
    <row r="72" spans="12:13" x14ac:dyDescent="0.25">
      <c r="L72" s="39"/>
      <c r="M72" s="39"/>
    </row>
    <row r="73" spans="12:13" x14ac:dyDescent="0.25">
      <c r="L73" s="39"/>
      <c r="M73" s="39"/>
    </row>
    <row r="74" spans="12:13" x14ac:dyDescent="0.25">
      <c r="L74" s="39"/>
      <c r="M74" s="39"/>
    </row>
    <row r="75" spans="12:13" x14ac:dyDescent="0.25">
      <c r="L75" s="39"/>
      <c r="M75" s="39"/>
    </row>
    <row r="76" spans="12:13" x14ac:dyDescent="0.25">
      <c r="L76" s="39"/>
      <c r="M76" s="39"/>
    </row>
    <row r="77" spans="12:13" x14ac:dyDescent="0.25">
      <c r="L77" s="39"/>
      <c r="M77" s="39"/>
    </row>
    <row r="78" spans="12:13" x14ac:dyDescent="0.25">
      <c r="L78" s="39"/>
      <c r="M78" s="39"/>
    </row>
    <row r="79" spans="12:13" x14ac:dyDescent="0.25">
      <c r="L79" s="39"/>
      <c r="M79" s="39"/>
    </row>
    <row r="80" spans="12:13" x14ac:dyDescent="0.25">
      <c r="L80" s="39"/>
      <c r="M80" s="39"/>
    </row>
    <row r="81" spans="12:13" x14ac:dyDescent="0.25">
      <c r="L81" s="39"/>
      <c r="M81" s="39"/>
    </row>
    <row r="82" spans="12:13" x14ac:dyDescent="0.25">
      <c r="L82" s="39"/>
      <c r="M82" s="39"/>
    </row>
    <row r="83" spans="12:13" x14ac:dyDescent="0.25">
      <c r="L83" s="39"/>
      <c r="M83" s="39"/>
    </row>
    <row r="84" spans="12:13" x14ac:dyDescent="0.25">
      <c r="L84" s="39"/>
      <c r="M84" s="39"/>
    </row>
    <row r="85" spans="12:13" x14ac:dyDescent="0.25">
      <c r="L85" s="39"/>
      <c r="M85" s="39"/>
    </row>
    <row r="86" spans="12:13" x14ac:dyDescent="0.25">
      <c r="L86" s="39"/>
      <c r="M86" s="39"/>
    </row>
    <row r="87" spans="12:13" x14ac:dyDescent="0.25">
      <c r="L87" s="39"/>
      <c r="M87" s="39"/>
    </row>
    <row r="88" spans="12:13" x14ac:dyDescent="0.25">
      <c r="L88" s="39"/>
      <c r="M88" s="39"/>
    </row>
    <row r="89" spans="12:13" x14ac:dyDescent="0.25">
      <c r="L89" s="39"/>
      <c r="M89" s="39"/>
    </row>
    <row r="90" spans="12:13" x14ac:dyDescent="0.25">
      <c r="L90" s="39"/>
      <c r="M90" s="39"/>
    </row>
    <row r="91" spans="12:13" x14ac:dyDescent="0.25">
      <c r="L91" s="39"/>
      <c r="M91" s="39"/>
    </row>
    <row r="92" spans="12:13" x14ac:dyDescent="0.25">
      <c r="L92" s="39"/>
      <c r="M92" s="39"/>
    </row>
    <row r="93" spans="12:13" x14ac:dyDescent="0.25">
      <c r="L93" s="39"/>
      <c r="M93" s="39"/>
    </row>
    <row r="94" spans="12:13" x14ac:dyDescent="0.25">
      <c r="L94" s="39"/>
      <c r="M94" s="39"/>
    </row>
    <row r="95" spans="12:13" x14ac:dyDescent="0.25">
      <c r="L95" s="39"/>
      <c r="M95" s="39"/>
    </row>
    <row r="96" spans="12:13" x14ac:dyDescent="0.25">
      <c r="L96" s="39"/>
      <c r="M96" s="39"/>
    </row>
    <row r="97" spans="12:13" x14ac:dyDescent="0.25">
      <c r="L97" s="39"/>
      <c r="M97" s="39"/>
    </row>
    <row r="98" spans="12:13" x14ac:dyDescent="0.25">
      <c r="L98" s="39"/>
      <c r="M98" s="39"/>
    </row>
    <row r="99" spans="12:13" x14ac:dyDescent="0.25">
      <c r="L99" s="39"/>
      <c r="M99" s="39"/>
    </row>
    <row r="100" spans="12:13" x14ac:dyDescent="0.25">
      <c r="L100" s="39"/>
      <c r="M100" s="39"/>
    </row>
    <row r="101" spans="12:13" x14ac:dyDescent="0.25">
      <c r="L101" s="39"/>
      <c r="M101" s="39"/>
    </row>
    <row r="102" spans="12:13" x14ac:dyDescent="0.25">
      <c r="L102" s="39"/>
      <c r="M102" s="39"/>
    </row>
    <row r="103" spans="12:13" x14ac:dyDescent="0.25">
      <c r="L103" s="39"/>
      <c r="M103" s="39"/>
    </row>
    <row r="104" spans="12:13" x14ac:dyDescent="0.25">
      <c r="L104" s="39"/>
      <c r="M104" s="39"/>
    </row>
    <row r="105" spans="12:13" x14ac:dyDescent="0.25">
      <c r="L105" s="39"/>
      <c r="M105" s="39"/>
    </row>
    <row r="106" spans="12:13" x14ac:dyDescent="0.25">
      <c r="L106" s="39"/>
      <c r="M106" s="39"/>
    </row>
    <row r="107" spans="12:13" x14ac:dyDescent="0.25">
      <c r="L107" s="39"/>
      <c r="M107" s="39"/>
    </row>
    <row r="108" spans="12:13" x14ac:dyDescent="0.25">
      <c r="L108" s="39"/>
      <c r="M108" s="39"/>
    </row>
    <row r="109" spans="12:13" x14ac:dyDescent="0.25">
      <c r="L109" s="39"/>
      <c r="M109" s="39"/>
    </row>
    <row r="110" spans="12:13" x14ac:dyDescent="0.25">
      <c r="L110" s="39"/>
      <c r="M110" s="39"/>
    </row>
    <row r="111" spans="12:13" x14ac:dyDescent="0.25">
      <c r="L111" s="39"/>
      <c r="M111" s="39"/>
    </row>
    <row r="112" spans="12:13" x14ac:dyDescent="0.25">
      <c r="L112" s="39"/>
      <c r="M112" s="39"/>
    </row>
    <row r="113" spans="12:13" x14ac:dyDescent="0.25">
      <c r="L113" s="39"/>
      <c r="M113" s="39"/>
    </row>
    <row r="114" spans="12:13" x14ac:dyDescent="0.25">
      <c r="L114" s="39"/>
      <c r="M114" s="39"/>
    </row>
    <row r="115" spans="12:13" x14ac:dyDescent="0.25">
      <c r="L115" s="39"/>
      <c r="M115" s="39"/>
    </row>
    <row r="116" spans="12:13" x14ac:dyDescent="0.25">
      <c r="L116" s="39"/>
      <c r="M116" s="39"/>
    </row>
    <row r="117" spans="12:13" x14ac:dyDescent="0.25">
      <c r="L117" s="39"/>
      <c r="M117" s="39"/>
    </row>
    <row r="118" spans="12:13" x14ac:dyDescent="0.25">
      <c r="L118" s="39"/>
      <c r="M118" s="39"/>
    </row>
    <row r="119" spans="12:13" x14ac:dyDescent="0.25">
      <c r="L119" s="39"/>
      <c r="M119" s="39"/>
    </row>
    <row r="120" spans="12:13" x14ac:dyDescent="0.25">
      <c r="L120" s="39"/>
      <c r="M120" s="39"/>
    </row>
    <row r="121" spans="12:13" x14ac:dyDescent="0.25">
      <c r="L121" s="39"/>
      <c r="M121" s="39"/>
    </row>
    <row r="122" spans="12:13" x14ac:dyDescent="0.25">
      <c r="L122" s="39"/>
      <c r="M122" s="39"/>
    </row>
    <row r="123" spans="12:13" x14ac:dyDescent="0.25">
      <c r="L123" s="39"/>
      <c r="M123" s="39"/>
    </row>
    <row r="124" spans="12:13" x14ac:dyDescent="0.25">
      <c r="L124" s="39"/>
      <c r="M124" s="39"/>
    </row>
    <row r="125" spans="12:13" x14ac:dyDescent="0.25">
      <c r="L125" s="39"/>
      <c r="M125" s="39"/>
    </row>
    <row r="126" spans="12:13" x14ac:dyDescent="0.25">
      <c r="L126" s="39"/>
      <c r="M126" s="39"/>
    </row>
    <row r="127" spans="12:13" x14ac:dyDescent="0.25">
      <c r="L127" s="39"/>
      <c r="M127" s="39"/>
    </row>
    <row r="128" spans="12:13" x14ac:dyDescent="0.25">
      <c r="L128" s="39"/>
      <c r="M128" s="39"/>
    </row>
    <row r="129" spans="12:13" x14ac:dyDescent="0.25">
      <c r="L129" s="39"/>
      <c r="M129" s="39"/>
    </row>
    <row r="130" spans="12:13" x14ac:dyDescent="0.25">
      <c r="L130" s="39"/>
      <c r="M130" s="39"/>
    </row>
    <row r="131" spans="12:13" x14ac:dyDescent="0.25">
      <c r="L131" s="39"/>
      <c r="M131" s="39"/>
    </row>
    <row r="132" spans="12:13" x14ac:dyDescent="0.25">
      <c r="L132" s="39"/>
      <c r="M132" s="39"/>
    </row>
    <row r="133" spans="12:13" x14ac:dyDescent="0.25">
      <c r="L133" s="39"/>
      <c r="M133" s="39"/>
    </row>
    <row r="134" spans="12:13" x14ac:dyDescent="0.25">
      <c r="L134" s="39"/>
      <c r="M134" s="39"/>
    </row>
    <row r="135" spans="12:13" x14ac:dyDescent="0.25">
      <c r="L135" s="39"/>
      <c r="M135" s="39"/>
    </row>
    <row r="136" spans="12:13" x14ac:dyDescent="0.25">
      <c r="L136" s="39"/>
      <c r="M136" s="39"/>
    </row>
    <row r="137" spans="12:13" x14ac:dyDescent="0.25">
      <c r="L137" s="39"/>
      <c r="M137" s="39"/>
    </row>
    <row r="138" spans="12:13" x14ac:dyDescent="0.25">
      <c r="L138" s="39"/>
      <c r="M138" s="39"/>
    </row>
    <row r="139" spans="12:13" x14ac:dyDescent="0.25">
      <c r="L139" s="39"/>
      <c r="M139" s="39"/>
    </row>
    <row r="140" spans="12:13" x14ac:dyDescent="0.25">
      <c r="L140" s="39"/>
      <c r="M140" s="39"/>
    </row>
    <row r="141" spans="12:13" x14ac:dyDescent="0.25">
      <c r="L141" s="39"/>
      <c r="M141" s="39"/>
    </row>
    <row r="142" spans="12:13" x14ac:dyDescent="0.25">
      <c r="L142" s="39"/>
      <c r="M142" s="39"/>
    </row>
    <row r="143" spans="12:13" x14ac:dyDescent="0.25">
      <c r="L143" s="39"/>
      <c r="M143" s="39"/>
    </row>
    <row r="144" spans="12:13" x14ac:dyDescent="0.25">
      <c r="L144" s="39"/>
      <c r="M144" s="39"/>
    </row>
    <row r="145" spans="12:13" x14ac:dyDescent="0.25">
      <c r="L145" s="39"/>
      <c r="M145" s="39"/>
    </row>
    <row r="146" spans="12:13" x14ac:dyDescent="0.25">
      <c r="L146" s="39"/>
      <c r="M146" s="39"/>
    </row>
    <row r="147" spans="12:13" x14ac:dyDescent="0.25">
      <c r="L147" s="39"/>
      <c r="M147" s="39"/>
    </row>
    <row r="148" spans="12:13" x14ac:dyDescent="0.25">
      <c r="L148" s="39"/>
      <c r="M148" s="39"/>
    </row>
    <row r="149" spans="12:13" x14ac:dyDescent="0.25">
      <c r="L149" s="39"/>
      <c r="M149" s="39"/>
    </row>
    <row r="150" spans="12:13" x14ac:dyDescent="0.25">
      <c r="L150" s="39"/>
      <c r="M150" s="39"/>
    </row>
    <row r="151" spans="12:13" x14ac:dyDescent="0.25">
      <c r="L151" s="39"/>
      <c r="M151" s="39"/>
    </row>
    <row r="152" spans="12:13" x14ac:dyDescent="0.25">
      <c r="L152" s="39"/>
      <c r="M152" s="39"/>
    </row>
    <row r="153" spans="12:13" x14ac:dyDescent="0.25">
      <c r="L153" s="39"/>
      <c r="M153" s="39"/>
    </row>
    <row r="154" spans="12:13" x14ac:dyDescent="0.25">
      <c r="L154" s="39"/>
      <c r="M154" s="39"/>
    </row>
    <row r="155" spans="12:13" x14ac:dyDescent="0.25">
      <c r="L155" s="39"/>
      <c r="M155" s="39"/>
    </row>
    <row r="156" spans="12:13" x14ac:dyDescent="0.25">
      <c r="L156" s="39"/>
      <c r="M156" s="39"/>
    </row>
    <row r="157" spans="12:13" x14ac:dyDescent="0.25">
      <c r="L157" s="39"/>
      <c r="M157" s="39"/>
    </row>
    <row r="158" spans="12:13" x14ac:dyDescent="0.25">
      <c r="L158" s="39"/>
      <c r="M158" s="39"/>
    </row>
    <row r="159" spans="12:13" x14ac:dyDescent="0.25">
      <c r="L159" s="39"/>
      <c r="M159" s="39"/>
    </row>
    <row r="160" spans="12:13" x14ac:dyDescent="0.25">
      <c r="L160" s="39"/>
      <c r="M160" s="39"/>
    </row>
    <row r="161" spans="12:13" x14ac:dyDescent="0.25">
      <c r="L161" s="39"/>
      <c r="M161" s="39"/>
    </row>
    <row r="162" spans="12:13" x14ac:dyDescent="0.25">
      <c r="L162" s="39"/>
      <c r="M162" s="39"/>
    </row>
    <row r="163" spans="12:13" x14ac:dyDescent="0.25">
      <c r="L163" s="39"/>
      <c r="M163" s="39"/>
    </row>
    <row r="164" spans="12:13" x14ac:dyDescent="0.25">
      <c r="L164" s="39"/>
      <c r="M164" s="39"/>
    </row>
    <row r="165" spans="12:13" x14ac:dyDescent="0.25">
      <c r="L165" s="39"/>
      <c r="M165" s="39"/>
    </row>
    <row r="166" spans="12:13" x14ac:dyDescent="0.25">
      <c r="L166" s="39"/>
      <c r="M166" s="39"/>
    </row>
    <row r="167" spans="12:13" x14ac:dyDescent="0.25">
      <c r="L167" s="39"/>
      <c r="M167" s="39"/>
    </row>
    <row r="168" spans="12:13" x14ac:dyDescent="0.25">
      <c r="L168" s="39"/>
      <c r="M168" s="39"/>
    </row>
    <row r="169" spans="12:13" x14ac:dyDescent="0.25">
      <c r="L169" s="39"/>
      <c r="M169" s="39"/>
    </row>
    <row r="170" spans="12:13" x14ac:dyDescent="0.25">
      <c r="L170" s="39"/>
      <c r="M170" s="39"/>
    </row>
    <row r="171" spans="12:13" x14ac:dyDescent="0.25">
      <c r="L171" s="39"/>
      <c r="M171" s="39"/>
    </row>
    <row r="172" spans="12:13" x14ac:dyDescent="0.25">
      <c r="L172" s="39"/>
      <c r="M172" s="39"/>
    </row>
    <row r="173" spans="12:13" x14ac:dyDescent="0.25">
      <c r="L173" s="39"/>
      <c r="M173" s="39"/>
    </row>
    <row r="174" spans="12:13" x14ac:dyDescent="0.25">
      <c r="L174" s="39"/>
      <c r="M174" s="39"/>
    </row>
    <row r="175" spans="12:13" x14ac:dyDescent="0.25">
      <c r="L175" s="39"/>
      <c r="M175" s="39"/>
    </row>
    <row r="176" spans="12:13" x14ac:dyDescent="0.25">
      <c r="L176" s="39"/>
      <c r="M176" s="39"/>
    </row>
    <row r="177" spans="12:13" x14ac:dyDescent="0.25">
      <c r="L177" s="39"/>
      <c r="M177" s="39"/>
    </row>
    <row r="178" spans="12:13" x14ac:dyDescent="0.25">
      <c r="L178" s="39"/>
      <c r="M178" s="39"/>
    </row>
    <row r="179" spans="12:13" x14ac:dyDescent="0.25">
      <c r="L179" s="39"/>
      <c r="M179" s="39"/>
    </row>
    <row r="180" spans="12:13" x14ac:dyDescent="0.25">
      <c r="L180" s="39"/>
      <c r="M180" s="39"/>
    </row>
    <row r="181" spans="12:13" x14ac:dyDescent="0.25">
      <c r="L181" s="39"/>
      <c r="M181" s="39"/>
    </row>
    <row r="182" spans="12:13" x14ac:dyDescent="0.25">
      <c r="L182" s="39"/>
      <c r="M182" s="39"/>
    </row>
    <row r="183" spans="12:13" x14ac:dyDescent="0.25">
      <c r="L183" s="39"/>
      <c r="M183" s="39"/>
    </row>
    <row r="184" spans="12:13" x14ac:dyDescent="0.25">
      <c r="L184" s="39"/>
      <c r="M184" s="39"/>
    </row>
    <row r="185" spans="12:13" x14ac:dyDescent="0.25">
      <c r="L185" s="39"/>
      <c r="M185" s="39"/>
    </row>
    <row r="186" spans="12:13" x14ac:dyDescent="0.25">
      <c r="L186" s="39"/>
      <c r="M186" s="39"/>
    </row>
    <row r="187" spans="12:13" x14ac:dyDescent="0.25">
      <c r="L187" s="39"/>
      <c r="M187" s="39"/>
    </row>
    <row r="188" spans="12:13" x14ac:dyDescent="0.25">
      <c r="L188" s="39"/>
      <c r="M188" s="39"/>
    </row>
    <row r="189" spans="12:13" x14ac:dyDescent="0.25">
      <c r="L189" s="39"/>
      <c r="M189" s="39"/>
    </row>
    <row r="190" spans="12:13" x14ac:dyDescent="0.25">
      <c r="L190" s="39"/>
      <c r="M190" s="39"/>
    </row>
    <row r="191" spans="12:13" x14ac:dyDescent="0.25">
      <c r="L191" s="39"/>
      <c r="M191" s="39"/>
    </row>
    <row r="192" spans="12:13" x14ac:dyDescent="0.25">
      <c r="L192" s="39"/>
      <c r="M192" s="39"/>
    </row>
    <row r="193" spans="12:13" x14ac:dyDescent="0.25">
      <c r="L193" s="39"/>
      <c r="M193" s="39"/>
    </row>
    <row r="194" spans="12:13" x14ac:dyDescent="0.25">
      <c r="L194" s="39"/>
      <c r="M194" s="39"/>
    </row>
    <row r="195" spans="12:13" x14ac:dyDescent="0.25">
      <c r="L195" s="39"/>
      <c r="M195" s="39"/>
    </row>
    <row r="196" spans="12:13" x14ac:dyDescent="0.25">
      <c r="L196" s="39"/>
      <c r="M196" s="39"/>
    </row>
    <row r="197" spans="12:13" x14ac:dyDescent="0.25">
      <c r="L197" s="39"/>
      <c r="M197" s="39"/>
    </row>
    <row r="198" spans="12:13" x14ac:dyDescent="0.25">
      <c r="L198" s="39"/>
      <c r="M198" s="39"/>
    </row>
    <row r="199" spans="12:13" x14ac:dyDescent="0.25">
      <c r="L199" s="39"/>
      <c r="M199" s="39"/>
    </row>
    <row r="200" spans="12:13" x14ac:dyDescent="0.25">
      <c r="L200" s="39"/>
      <c r="M200" s="39"/>
    </row>
    <row r="201" spans="12:13" x14ac:dyDescent="0.25">
      <c r="L201" s="39"/>
      <c r="M201" s="39"/>
    </row>
    <row r="202" spans="12:13" x14ac:dyDescent="0.25">
      <c r="L202" s="39"/>
      <c r="M202" s="39"/>
    </row>
    <row r="203" spans="12:13" x14ac:dyDescent="0.25">
      <c r="L203" s="39"/>
      <c r="M203" s="39"/>
    </row>
    <row r="204" spans="12:13" x14ac:dyDescent="0.25">
      <c r="L204" s="39"/>
      <c r="M204" s="39"/>
    </row>
    <row r="205" spans="12:13" x14ac:dyDescent="0.25">
      <c r="L205" s="39"/>
      <c r="M205" s="39"/>
    </row>
    <row r="206" spans="12:13" x14ac:dyDescent="0.25">
      <c r="L206" s="39"/>
      <c r="M206" s="39"/>
    </row>
    <row r="207" spans="12:13" x14ac:dyDescent="0.25">
      <c r="L207" s="39"/>
      <c r="M207" s="39"/>
    </row>
    <row r="208" spans="12:13" x14ac:dyDescent="0.25">
      <c r="L208" s="39"/>
      <c r="M208" s="39"/>
    </row>
    <row r="209" spans="12:13" x14ac:dyDescent="0.25">
      <c r="L209" s="39"/>
      <c r="M209" s="39"/>
    </row>
    <row r="210" spans="12:13" x14ac:dyDescent="0.25">
      <c r="L210" s="39"/>
      <c r="M210" s="39"/>
    </row>
    <row r="211" spans="12:13" x14ac:dyDescent="0.25">
      <c r="L211" s="39"/>
      <c r="M211" s="39"/>
    </row>
    <row r="212" spans="12:13" x14ac:dyDescent="0.25">
      <c r="L212" s="39"/>
      <c r="M212" s="39"/>
    </row>
    <row r="213" spans="12:13" x14ac:dyDescent="0.25">
      <c r="L213" s="39"/>
      <c r="M213" s="39"/>
    </row>
    <row r="214" spans="12:13" x14ac:dyDescent="0.25">
      <c r="L214" s="39"/>
      <c r="M214" s="39"/>
    </row>
    <row r="215" spans="12:13" x14ac:dyDescent="0.25">
      <c r="L215" s="39"/>
      <c r="M215" s="39"/>
    </row>
    <row r="216" spans="12:13" x14ac:dyDescent="0.25">
      <c r="L216" s="39"/>
      <c r="M216" s="39"/>
    </row>
    <row r="217" spans="12:13" x14ac:dyDescent="0.25">
      <c r="L217" s="39"/>
      <c r="M217" s="39"/>
    </row>
    <row r="218" spans="12:13" x14ac:dyDescent="0.25">
      <c r="L218" s="39"/>
      <c r="M218" s="39"/>
    </row>
    <row r="219" spans="12:13" x14ac:dyDescent="0.25">
      <c r="L219" s="39"/>
      <c r="M219" s="39"/>
    </row>
    <row r="220" spans="12:13" x14ac:dyDescent="0.25">
      <c r="L220" s="39"/>
      <c r="M220" s="39"/>
    </row>
    <row r="221" spans="12:13" x14ac:dyDescent="0.25">
      <c r="L221" s="39"/>
      <c r="M221" s="39"/>
    </row>
    <row r="222" spans="12:13" x14ac:dyDescent="0.25">
      <c r="L222" s="39"/>
      <c r="M222" s="39"/>
    </row>
    <row r="223" spans="12:13" x14ac:dyDescent="0.25">
      <c r="L223" s="39"/>
      <c r="M223" s="39"/>
    </row>
    <row r="224" spans="12:13" x14ac:dyDescent="0.25">
      <c r="L224" s="39"/>
      <c r="M224" s="39"/>
    </row>
    <row r="225" spans="12:13" x14ac:dyDescent="0.25">
      <c r="L225" s="39"/>
      <c r="M225" s="39"/>
    </row>
    <row r="226" spans="12:13" x14ac:dyDescent="0.25">
      <c r="L226" s="39"/>
      <c r="M226" s="39"/>
    </row>
    <row r="227" spans="12:13" x14ac:dyDescent="0.25">
      <c r="L227" s="39"/>
      <c r="M227" s="39"/>
    </row>
    <row r="228" spans="12:13" x14ac:dyDescent="0.25">
      <c r="L228" s="39"/>
      <c r="M228" s="39"/>
    </row>
    <row r="229" spans="12:13" x14ac:dyDescent="0.25">
      <c r="L229" s="39"/>
      <c r="M229" s="39"/>
    </row>
    <row r="230" spans="12:13" x14ac:dyDescent="0.25">
      <c r="L230" s="39"/>
      <c r="M230" s="39"/>
    </row>
    <row r="231" spans="12:13" x14ac:dyDescent="0.25">
      <c r="L231" s="39"/>
      <c r="M231" s="39"/>
    </row>
    <row r="232" spans="12:13" x14ac:dyDescent="0.25">
      <c r="L232" s="39"/>
      <c r="M232" s="39"/>
    </row>
    <row r="233" spans="12:13" x14ac:dyDescent="0.25">
      <c r="L233" s="39"/>
      <c r="M233" s="39"/>
    </row>
    <row r="234" spans="12:13" x14ac:dyDescent="0.25">
      <c r="L234" s="39"/>
      <c r="M234" s="39"/>
    </row>
    <row r="235" spans="12:13" x14ac:dyDescent="0.25">
      <c r="L235" s="39"/>
      <c r="M235" s="39"/>
    </row>
    <row r="236" spans="12:13" x14ac:dyDescent="0.25">
      <c r="L236" s="39"/>
      <c r="M236" s="39"/>
    </row>
    <row r="237" spans="12:13" x14ac:dyDescent="0.25">
      <c r="L237" s="39"/>
      <c r="M237" s="39"/>
    </row>
    <row r="238" spans="12:13" x14ac:dyDescent="0.25">
      <c r="L238" s="39"/>
      <c r="M238" s="39"/>
    </row>
    <row r="239" spans="12:13" x14ac:dyDescent="0.25">
      <c r="L239" s="39"/>
      <c r="M239" s="39"/>
    </row>
    <row r="240" spans="12:13" x14ac:dyDescent="0.25">
      <c r="L240" s="39"/>
      <c r="M240" s="39"/>
    </row>
    <row r="241" spans="12:13" x14ac:dyDescent="0.25">
      <c r="L241" s="39"/>
      <c r="M241" s="39"/>
    </row>
    <row r="242" spans="12:13" x14ac:dyDescent="0.25">
      <c r="L242" s="39"/>
      <c r="M242" s="39"/>
    </row>
    <row r="243" spans="12:13" x14ac:dyDescent="0.25">
      <c r="L243" s="39"/>
      <c r="M243" s="39"/>
    </row>
    <row r="244" spans="12:13" x14ac:dyDescent="0.25">
      <c r="L244" s="39"/>
      <c r="M244" s="39"/>
    </row>
    <row r="245" spans="12:13" x14ac:dyDescent="0.25">
      <c r="L245" s="39"/>
      <c r="M245" s="39"/>
    </row>
    <row r="246" spans="12:13" x14ac:dyDescent="0.25">
      <c r="L246" s="39"/>
      <c r="M246" s="39"/>
    </row>
    <row r="247" spans="12:13" x14ac:dyDescent="0.25">
      <c r="L247" s="39"/>
      <c r="M247" s="39"/>
    </row>
    <row r="248" spans="12:13" x14ac:dyDescent="0.25">
      <c r="L248" s="39"/>
      <c r="M248" s="39"/>
    </row>
    <row r="249" spans="12:13" x14ac:dyDescent="0.25">
      <c r="L249" s="39"/>
      <c r="M249" s="39"/>
    </row>
    <row r="250" spans="12:13" x14ac:dyDescent="0.25">
      <c r="L250" s="39"/>
      <c r="M250" s="39"/>
    </row>
    <row r="251" spans="12:13" x14ac:dyDescent="0.25">
      <c r="L251" s="39"/>
      <c r="M251" s="39"/>
    </row>
    <row r="252" spans="12:13" x14ac:dyDescent="0.25">
      <c r="L252" s="39"/>
      <c r="M252" s="39"/>
    </row>
    <row r="253" spans="12:13" x14ac:dyDescent="0.25">
      <c r="L253" s="39"/>
      <c r="M253" s="39"/>
    </row>
    <row r="254" spans="12:13" x14ac:dyDescent="0.25">
      <c r="L254" s="39"/>
      <c r="M254" s="39"/>
    </row>
    <row r="255" spans="12:13" x14ac:dyDescent="0.25">
      <c r="L255" s="39"/>
      <c r="M255" s="39"/>
    </row>
    <row r="256" spans="12:13" x14ac:dyDescent="0.25">
      <c r="L256" s="39"/>
      <c r="M256" s="39"/>
    </row>
    <row r="257" spans="12:13" x14ac:dyDescent="0.25">
      <c r="L257" s="39"/>
      <c r="M257" s="39"/>
    </row>
    <row r="258" spans="12:13" x14ac:dyDescent="0.25">
      <c r="L258" s="39"/>
      <c r="M258" s="39"/>
    </row>
    <row r="259" spans="12:13" x14ac:dyDescent="0.25">
      <c r="L259" s="39"/>
      <c r="M259" s="39"/>
    </row>
    <row r="260" spans="12:13" x14ac:dyDescent="0.25">
      <c r="L260" s="39"/>
      <c r="M260" s="39"/>
    </row>
    <row r="261" spans="12:13" x14ac:dyDescent="0.25">
      <c r="L261" s="39"/>
      <c r="M261" s="39"/>
    </row>
    <row r="262" spans="12:13" x14ac:dyDescent="0.25">
      <c r="L262" s="39"/>
      <c r="M262" s="39"/>
    </row>
    <row r="263" spans="12:13" x14ac:dyDescent="0.25">
      <c r="L263" s="39"/>
      <c r="M263" s="39"/>
    </row>
    <row r="264" spans="12:13" x14ac:dyDescent="0.25">
      <c r="L264" s="39"/>
      <c r="M264" s="39"/>
    </row>
    <row r="265" spans="12:13" x14ac:dyDescent="0.25">
      <c r="L265" s="39"/>
      <c r="M265" s="39"/>
    </row>
    <row r="266" spans="12:13" x14ac:dyDescent="0.25">
      <c r="L266" s="39"/>
      <c r="M266" s="39"/>
    </row>
    <row r="267" spans="12:13" x14ac:dyDescent="0.25">
      <c r="L267" s="39"/>
      <c r="M267" s="39"/>
    </row>
    <row r="268" spans="12:13" x14ac:dyDescent="0.25">
      <c r="L268" s="39"/>
      <c r="M268" s="39"/>
    </row>
    <row r="269" spans="12:13" x14ac:dyDescent="0.25">
      <c r="L269" s="39"/>
      <c r="M269" s="39"/>
    </row>
    <row r="270" spans="12:13" x14ac:dyDescent="0.25">
      <c r="L270" s="39"/>
      <c r="M270" s="39"/>
    </row>
    <row r="271" spans="12:13" x14ac:dyDescent="0.25">
      <c r="L271" s="39"/>
      <c r="M271" s="39"/>
    </row>
    <row r="272" spans="12:13" x14ac:dyDescent="0.25">
      <c r="L272" s="39"/>
      <c r="M272" s="39"/>
    </row>
    <row r="273" spans="12:13" x14ac:dyDescent="0.25">
      <c r="L273" s="39"/>
      <c r="M273" s="39"/>
    </row>
    <row r="274" spans="12:13" x14ac:dyDescent="0.25">
      <c r="L274" s="39"/>
      <c r="M274" s="39"/>
    </row>
    <row r="275" spans="12:13" x14ac:dyDescent="0.25">
      <c r="L275" s="39"/>
      <c r="M275" s="39"/>
    </row>
    <row r="276" spans="12:13" x14ac:dyDescent="0.25">
      <c r="L276" s="39"/>
      <c r="M276" s="39"/>
    </row>
    <row r="277" spans="12:13" x14ac:dyDescent="0.25">
      <c r="L277" s="39"/>
      <c r="M277" s="39"/>
    </row>
    <row r="278" spans="12:13" x14ac:dyDescent="0.25">
      <c r="L278" s="39"/>
      <c r="M278" s="39"/>
    </row>
    <row r="279" spans="12:13" x14ac:dyDescent="0.25">
      <c r="L279" s="39"/>
      <c r="M279" s="39"/>
    </row>
    <row r="280" spans="12:13" x14ac:dyDescent="0.25">
      <c r="L280" s="39"/>
      <c r="M280" s="39"/>
    </row>
    <row r="281" spans="12:13" x14ac:dyDescent="0.25">
      <c r="L281" s="39"/>
      <c r="M281" s="39"/>
    </row>
    <row r="282" spans="12:13" x14ac:dyDescent="0.25">
      <c r="L282" s="39"/>
      <c r="M282" s="39"/>
    </row>
    <row r="283" spans="12:13" x14ac:dyDescent="0.25">
      <c r="L283" s="39"/>
      <c r="M283" s="39"/>
    </row>
    <row r="284" spans="12:13" x14ac:dyDescent="0.25">
      <c r="L284" s="39"/>
      <c r="M284" s="39"/>
    </row>
    <row r="285" spans="12:13" x14ac:dyDescent="0.25">
      <c r="L285" s="39"/>
      <c r="M285" s="39"/>
    </row>
    <row r="286" spans="12:13" x14ac:dyDescent="0.25">
      <c r="L286" s="39"/>
      <c r="M286" s="39"/>
    </row>
    <row r="287" spans="12:13" x14ac:dyDescent="0.25">
      <c r="L287" s="39"/>
      <c r="M287" s="39"/>
    </row>
    <row r="288" spans="12:13" x14ac:dyDescent="0.25">
      <c r="L288" s="39"/>
      <c r="M288" s="39"/>
    </row>
    <row r="289" spans="12:13" x14ac:dyDescent="0.25">
      <c r="L289" s="39"/>
      <c r="M289" s="39"/>
    </row>
    <row r="290" spans="12:13" x14ac:dyDescent="0.25">
      <c r="L290" s="39"/>
      <c r="M290" s="39"/>
    </row>
    <row r="291" spans="12:13" x14ac:dyDescent="0.25">
      <c r="L291" s="39"/>
      <c r="M291" s="39"/>
    </row>
    <row r="292" spans="12:13" x14ac:dyDescent="0.25">
      <c r="L292" s="39"/>
      <c r="M292" s="39"/>
    </row>
    <row r="293" spans="12:13" x14ac:dyDescent="0.25">
      <c r="L293" s="39"/>
      <c r="M293" s="39"/>
    </row>
    <row r="294" spans="12:13" x14ac:dyDescent="0.25">
      <c r="L294" s="39"/>
      <c r="M294" s="39"/>
    </row>
    <row r="295" spans="12:13" x14ac:dyDescent="0.25">
      <c r="L295" s="39"/>
      <c r="M295" s="39"/>
    </row>
    <row r="296" spans="12:13" x14ac:dyDescent="0.25">
      <c r="L296" s="39"/>
      <c r="M296" s="39"/>
    </row>
    <row r="297" spans="12:13" x14ac:dyDescent="0.25">
      <c r="L297" s="39"/>
      <c r="M297" s="39"/>
    </row>
    <row r="298" spans="12:13" x14ac:dyDescent="0.25">
      <c r="L298" s="39"/>
      <c r="M298" s="39"/>
    </row>
    <row r="299" spans="12:13" x14ac:dyDescent="0.25">
      <c r="L299" s="39"/>
      <c r="M299" s="39"/>
    </row>
    <row r="300" spans="12:13" x14ac:dyDescent="0.25">
      <c r="L300" s="39"/>
      <c r="M300" s="39"/>
    </row>
    <row r="301" spans="12:13" x14ac:dyDescent="0.25">
      <c r="L301" s="39"/>
      <c r="M301" s="39"/>
    </row>
    <row r="302" spans="12:13" x14ac:dyDescent="0.25">
      <c r="L302" s="39"/>
      <c r="M302" s="39"/>
    </row>
    <row r="303" spans="12:13" x14ac:dyDescent="0.25">
      <c r="L303" s="39"/>
      <c r="M303" s="39"/>
    </row>
    <row r="304" spans="12:13" x14ac:dyDescent="0.25">
      <c r="L304" s="39"/>
      <c r="M304" s="39"/>
    </row>
    <row r="305" spans="12:13" x14ac:dyDescent="0.25">
      <c r="L305" s="39"/>
      <c r="M305" s="39"/>
    </row>
    <row r="306" spans="12:13" x14ac:dyDescent="0.25">
      <c r="L306" s="39"/>
      <c r="M306" s="39"/>
    </row>
    <row r="307" spans="12:13" x14ac:dyDescent="0.25">
      <c r="L307" s="39"/>
      <c r="M307" s="39"/>
    </row>
    <row r="308" spans="12:13" x14ac:dyDescent="0.25">
      <c r="L308" s="39"/>
      <c r="M308" s="39"/>
    </row>
    <row r="309" spans="12:13" x14ac:dyDescent="0.25">
      <c r="L309" s="39"/>
      <c r="M309" s="39"/>
    </row>
    <row r="310" spans="12:13" x14ac:dyDescent="0.25">
      <c r="L310" s="39"/>
      <c r="M310" s="39"/>
    </row>
    <row r="311" spans="12:13" x14ac:dyDescent="0.25">
      <c r="L311" s="39"/>
      <c r="M311" s="39"/>
    </row>
    <row r="312" spans="12:13" x14ac:dyDescent="0.25">
      <c r="L312" s="39"/>
      <c r="M312" s="39"/>
    </row>
    <row r="313" spans="12:13" x14ac:dyDescent="0.25">
      <c r="L313" s="39"/>
      <c r="M313" s="39"/>
    </row>
    <row r="314" spans="12:13" x14ac:dyDescent="0.25">
      <c r="L314" s="39"/>
      <c r="M314" s="39"/>
    </row>
    <row r="315" spans="12:13" x14ac:dyDescent="0.25">
      <c r="L315" s="39"/>
      <c r="M315" s="39"/>
    </row>
    <row r="316" spans="12:13" x14ac:dyDescent="0.25">
      <c r="L316" s="39"/>
      <c r="M316" s="39"/>
    </row>
    <row r="317" spans="12:13" x14ac:dyDescent="0.25">
      <c r="L317" s="39"/>
      <c r="M317" s="39"/>
    </row>
    <row r="318" spans="12:13" x14ac:dyDescent="0.25">
      <c r="L318" s="39"/>
      <c r="M318" s="39"/>
    </row>
    <row r="319" spans="12:13" x14ac:dyDescent="0.25">
      <c r="L319" s="39"/>
      <c r="M319" s="39"/>
    </row>
    <row r="320" spans="12:13" x14ac:dyDescent="0.25">
      <c r="L320" s="39"/>
      <c r="M320" s="39"/>
    </row>
    <row r="321" spans="12:13" x14ac:dyDescent="0.25">
      <c r="L321" s="39"/>
      <c r="M321" s="39"/>
    </row>
    <row r="322" spans="12:13" x14ac:dyDescent="0.25">
      <c r="L322" s="39"/>
      <c r="M322" s="39"/>
    </row>
    <row r="323" spans="12:13" x14ac:dyDescent="0.25">
      <c r="L323" s="39"/>
      <c r="M323" s="39"/>
    </row>
    <row r="324" spans="12:13" x14ac:dyDescent="0.25">
      <c r="L324" s="39"/>
      <c r="M324" s="39"/>
    </row>
    <row r="325" spans="12:13" x14ac:dyDescent="0.25">
      <c r="L325" s="39"/>
      <c r="M325" s="39"/>
    </row>
    <row r="326" spans="12:13" x14ac:dyDescent="0.25">
      <c r="L326" s="39"/>
      <c r="M326" s="39"/>
    </row>
    <row r="327" spans="12:13" x14ac:dyDescent="0.25">
      <c r="L327" s="39"/>
      <c r="M327" s="39"/>
    </row>
    <row r="328" spans="12:13" x14ac:dyDescent="0.25">
      <c r="L328" s="39"/>
      <c r="M328" s="39"/>
    </row>
    <row r="329" spans="12:13" x14ac:dyDescent="0.25">
      <c r="L329" s="39"/>
      <c r="M329" s="39"/>
    </row>
    <row r="330" spans="12:13" x14ac:dyDescent="0.25">
      <c r="L330" s="39"/>
      <c r="M330" s="39"/>
    </row>
    <row r="331" spans="12:13" x14ac:dyDescent="0.25">
      <c r="L331" s="39"/>
      <c r="M331" s="39"/>
    </row>
    <row r="332" spans="12:13" x14ac:dyDescent="0.25">
      <c r="L332" s="39"/>
      <c r="M332" s="39"/>
    </row>
    <row r="333" spans="12:13" x14ac:dyDescent="0.25">
      <c r="L333" s="39"/>
      <c r="M333" s="39"/>
    </row>
    <row r="334" spans="12:13" x14ac:dyDescent="0.25">
      <c r="L334" s="39"/>
      <c r="M334" s="39"/>
    </row>
    <row r="335" spans="12:13" x14ac:dyDescent="0.25">
      <c r="L335" s="39"/>
      <c r="M335" s="39"/>
    </row>
    <row r="336" spans="12:13" x14ac:dyDescent="0.25">
      <c r="L336" s="39"/>
      <c r="M336" s="39"/>
    </row>
    <row r="337" spans="12:13" x14ac:dyDescent="0.25">
      <c r="L337" s="39"/>
      <c r="M337" s="39"/>
    </row>
    <row r="338" spans="12:13" x14ac:dyDescent="0.25">
      <c r="L338" s="39"/>
      <c r="M338" s="39"/>
    </row>
    <row r="339" spans="12:13" x14ac:dyDescent="0.25">
      <c r="L339" s="39"/>
      <c r="M339" s="39"/>
    </row>
    <row r="340" spans="12:13" x14ac:dyDescent="0.25">
      <c r="L340" s="39"/>
      <c r="M340" s="39"/>
    </row>
    <row r="341" spans="12:13" x14ac:dyDescent="0.25">
      <c r="L341" s="39"/>
      <c r="M341" s="39"/>
    </row>
    <row r="342" spans="12:13" x14ac:dyDescent="0.25">
      <c r="L342" s="39"/>
      <c r="M342" s="39"/>
    </row>
    <row r="343" spans="12:13" x14ac:dyDescent="0.25">
      <c r="L343" s="39"/>
      <c r="M343" s="39"/>
    </row>
    <row r="344" spans="12:13" x14ac:dyDescent="0.25">
      <c r="L344" s="39"/>
      <c r="M344" s="39"/>
    </row>
    <row r="345" spans="12:13" x14ac:dyDescent="0.25">
      <c r="L345" s="39"/>
      <c r="M345" s="39"/>
    </row>
    <row r="346" spans="12:13" x14ac:dyDescent="0.25">
      <c r="L346" s="39"/>
      <c r="M346" s="39"/>
    </row>
    <row r="347" spans="12:13" x14ac:dyDescent="0.25">
      <c r="L347" s="39"/>
      <c r="M347" s="39"/>
    </row>
    <row r="348" spans="12:13" x14ac:dyDescent="0.25">
      <c r="L348" s="39"/>
      <c r="M348" s="39"/>
    </row>
    <row r="349" spans="12:13" x14ac:dyDescent="0.25">
      <c r="L349" s="39"/>
      <c r="M349" s="39"/>
    </row>
    <row r="350" spans="12:13" x14ac:dyDescent="0.25">
      <c r="L350" s="39"/>
      <c r="M350" s="39"/>
    </row>
    <row r="351" spans="12:13" x14ac:dyDescent="0.25">
      <c r="L351" s="39"/>
      <c r="M351" s="39"/>
    </row>
    <row r="352" spans="12:13" x14ac:dyDescent="0.25">
      <c r="L352" s="39"/>
      <c r="M352" s="39"/>
    </row>
    <row r="353" spans="12:13" x14ac:dyDescent="0.25">
      <c r="L353" s="39"/>
      <c r="M353" s="39"/>
    </row>
    <row r="354" spans="12:13" x14ac:dyDescent="0.25">
      <c r="L354" s="39"/>
      <c r="M354" s="39"/>
    </row>
    <row r="355" spans="12:13" x14ac:dyDescent="0.25">
      <c r="L355" s="39"/>
      <c r="M355" s="39"/>
    </row>
    <row r="356" spans="12:13" x14ac:dyDescent="0.25">
      <c r="L356" s="39"/>
      <c r="M356" s="39"/>
    </row>
    <row r="357" spans="12:13" x14ac:dyDescent="0.25">
      <c r="L357" s="39"/>
      <c r="M357" s="39"/>
    </row>
    <row r="358" spans="12:13" x14ac:dyDescent="0.25">
      <c r="L358" s="39"/>
      <c r="M358" s="39"/>
    </row>
    <row r="359" spans="12:13" x14ac:dyDescent="0.25">
      <c r="L359" s="39"/>
      <c r="M359" s="39"/>
    </row>
    <row r="360" spans="12:13" x14ac:dyDescent="0.25">
      <c r="L360" s="39"/>
      <c r="M360" s="39"/>
    </row>
    <row r="361" spans="12:13" x14ac:dyDescent="0.25">
      <c r="L361" s="39"/>
      <c r="M361" s="39"/>
    </row>
    <row r="362" spans="12:13" x14ac:dyDescent="0.25">
      <c r="L362" s="39"/>
      <c r="M362" s="39"/>
    </row>
    <row r="363" spans="12:13" x14ac:dyDescent="0.25">
      <c r="L363" s="39"/>
      <c r="M363" s="39"/>
    </row>
    <row r="364" spans="12:13" x14ac:dyDescent="0.25">
      <c r="L364" s="39"/>
      <c r="M364" s="39"/>
    </row>
    <row r="365" spans="12:13" x14ac:dyDescent="0.25">
      <c r="L365" s="39"/>
      <c r="M365" s="39"/>
    </row>
    <row r="366" spans="12:13" x14ac:dyDescent="0.25">
      <c r="L366" s="39"/>
      <c r="M366" s="39"/>
    </row>
    <row r="367" spans="12:13" x14ac:dyDescent="0.25">
      <c r="L367" s="39"/>
      <c r="M367" s="39"/>
    </row>
    <row r="368" spans="12:13" x14ac:dyDescent="0.25">
      <c r="L368" s="39"/>
      <c r="M368" s="39"/>
    </row>
    <row r="369" spans="12:13" x14ac:dyDescent="0.25">
      <c r="L369" s="39"/>
      <c r="M369" s="39"/>
    </row>
  </sheetData>
  <sheetProtection autoFilter="0"/>
  <autoFilter ref="F4:G4" xr:uid="{7483EAD8-1339-4A97-BB42-1A1112D7A84F}"/>
  <mergeCells count="1">
    <mergeCell ref="H2:I2"/>
  </mergeCells>
  <conditionalFormatting sqref="R5:R8">
    <cfRule type="cellIs" dxfId="4" priority="4" operator="lessThan">
      <formula>0</formula>
    </cfRule>
  </conditionalFormatting>
  <conditionalFormatting sqref="H1:H1048576">
    <cfRule type="duplicateValues" dxfId="3" priority="85"/>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66A7A-0821-4140-AFDF-13DA151244B2}">
  <sheetPr codeName="Sayfa9">
    <tabColor theme="0" tint="-0.499984740745262"/>
  </sheetPr>
  <dimension ref="A1:BW2"/>
  <sheetViews>
    <sheetView workbookViewId="0">
      <selection activeCell="I15" sqref="I15"/>
    </sheetView>
  </sheetViews>
  <sheetFormatPr defaultRowHeight="15" x14ac:dyDescent="0.25"/>
  <cols>
    <col min="1" max="6" width="6.140625" customWidth="1"/>
    <col min="7" max="7" width="12" customWidth="1"/>
    <col min="8" max="8" width="15.5703125" customWidth="1"/>
    <col min="9" max="9" width="21" bestFit="1" customWidth="1"/>
    <col min="10" max="10" width="15.5703125" hidden="1" customWidth="1"/>
    <col min="11" max="11" width="20.7109375" customWidth="1"/>
    <col min="12" max="17" width="15.5703125" customWidth="1"/>
    <col min="19" max="73" width="9.140625" hidden="1" customWidth="1"/>
    <col min="74" max="74" width="0" hidden="1" customWidth="1"/>
  </cols>
  <sheetData>
    <row r="1" spans="1:75" s="1" customFormat="1" x14ac:dyDescent="0.25">
      <c r="A1" s="2"/>
      <c r="B1" s="2"/>
      <c r="C1" s="2"/>
      <c r="D1" s="2"/>
      <c r="E1" s="2"/>
      <c r="F1" s="2"/>
      <c r="G1" s="59" t="s">
        <v>284</v>
      </c>
      <c r="H1" s="59" t="s">
        <v>2241</v>
      </c>
      <c r="I1" s="30" t="s">
        <v>3</v>
      </c>
      <c r="K1" s="30" t="s">
        <v>287</v>
      </c>
      <c r="L1" s="30" t="s">
        <v>4</v>
      </c>
      <c r="M1" s="30" t="s">
        <v>5</v>
      </c>
      <c r="N1" s="30" t="s">
        <v>7</v>
      </c>
      <c r="O1" s="30" t="s">
        <v>6</v>
      </c>
      <c r="P1" s="30" t="s">
        <v>8</v>
      </c>
      <c r="Q1" s="30" t="s">
        <v>9</v>
      </c>
      <c r="R1" s="30" t="s">
        <v>10</v>
      </c>
      <c r="S1" s="27" t="s">
        <v>140</v>
      </c>
      <c r="T1" s="24" t="s">
        <v>141</v>
      </c>
      <c r="U1" s="24" t="s">
        <v>142</v>
      </c>
      <c r="V1" s="24" t="s">
        <v>143</v>
      </c>
      <c r="W1" s="24" t="s">
        <v>144</v>
      </c>
      <c r="X1" s="24" t="s">
        <v>145</v>
      </c>
      <c r="Y1" s="24" t="s">
        <v>146</v>
      </c>
      <c r="Z1" s="24" t="s">
        <v>147</v>
      </c>
      <c r="AA1" s="24" t="s">
        <v>148</v>
      </c>
      <c r="AB1" s="24" t="s">
        <v>149</v>
      </c>
      <c r="AC1" s="24" t="s">
        <v>150</v>
      </c>
      <c r="AD1" s="24" t="s">
        <v>151</v>
      </c>
      <c r="AE1" s="24" t="s">
        <v>152</v>
      </c>
      <c r="AF1" s="24" t="s">
        <v>153</v>
      </c>
      <c r="AG1" s="24" t="s">
        <v>154</v>
      </c>
      <c r="AH1" s="24" t="s">
        <v>155</v>
      </c>
      <c r="AI1" s="24" t="s">
        <v>156</v>
      </c>
      <c r="AJ1" s="24" t="s">
        <v>157</v>
      </c>
      <c r="AK1" s="24" t="s">
        <v>158</v>
      </c>
      <c r="AL1" s="24" t="s">
        <v>159</v>
      </c>
      <c r="AM1" s="24" t="s">
        <v>160</v>
      </c>
      <c r="AN1" s="24" t="s">
        <v>161</v>
      </c>
      <c r="AO1" s="24" t="s">
        <v>162</v>
      </c>
      <c r="AP1" s="24" t="s">
        <v>163</v>
      </c>
      <c r="AQ1" s="24" t="s">
        <v>164</v>
      </c>
      <c r="AR1" s="24" t="s">
        <v>165</v>
      </c>
      <c r="AS1" s="24" t="s">
        <v>166</v>
      </c>
      <c r="AT1" s="24" t="s">
        <v>167</v>
      </c>
      <c r="AU1" s="24" t="s">
        <v>1</v>
      </c>
      <c r="AV1" s="24" t="s">
        <v>168</v>
      </c>
      <c r="AW1" s="24" t="s">
        <v>169</v>
      </c>
      <c r="AX1" s="24" t="s">
        <v>170</v>
      </c>
      <c r="AY1" s="24" t="s">
        <v>171</v>
      </c>
      <c r="AZ1" s="24" t="s">
        <v>172</v>
      </c>
      <c r="BA1" s="24" t="s">
        <v>173</v>
      </c>
      <c r="BB1" s="24" t="s">
        <v>174</v>
      </c>
      <c r="BC1" s="24" t="s">
        <v>175</v>
      </c>
      <c r="BD1" s="24" t="s">
        <v>176</v>
      </c>
      <c r="BE1" s="24" t="s">
        <v>177</v>
      </c>
      <c r="BF1" s="24" t="s">
        <v>178</v>
      </c>
      <c r="BG1" s="24" t="s">
        <v>179</v>
      </c>
      <c r="BH1" s="24" t="s">
        <v>180</v>
      </c>
      <c r="BI1" s="24" t="s">
        <v>181</v>
      </c>
      <c r="BJ1" s="24" t="s">
        <v>182</v>
      </c>
      <c r="BK1" s="24" t="s">
        <v>183</v>
      </c>
      <c r="BL1" s="24" t="s">
        <v>184</v>
      </c>
      <c r="BM1" s="24" t="s">
        <v>185</v>
      </c>
      <c r="BN1" s="24" t="s">
        <v>186</v>
      </c>
      <c r="BO1" s="24" t="s">
        <v>187</v>
      </c>
      <c r="BP1" s="24" t="s">
        <v>188</v>
      </c>
      <c r="BQ1" s="24" t="s">
        <v>189</v>
      </c>
      <c r="BR1" s="24" t="s">
        <v>190</v>
      </c>
      <c r="BS1" s="24" t="s">
        <v>191</v>
      </c>
      <c r="BT1" s="24" t="s">
        <v>192</v>
      </c>
      <c r="BU1" s="24" t="s">
        <v>193</v>
      </c>
      <c r="BV1" s="24" t="s">
        <v>194</v>
      </c>
      <c r="BW1" s="31" t="s">
        <v>245</v>
      </c>
    </row>
    <row r="2" spans="1:75" x14ac:dyDescent="0.25">
      <c r="G2" s="38">
        <v>41014493556</v>
      </c>
      <c r="H2" s="118">
        <v>3030</v>
      </c>
      <c r="I2" s="37" t="s">
        <v>231</v>
      </c>
      <c r="J2" s="37">
        <v>41014493556</v>
      </c>
      <c r="K2" s="37" t="s">
        <v>214</v>
      </c>
      <c r="L2" s="61">
        <v>42254</v>
      </c>
      <c r="M2" s="61">
        <v>32923</v>
      </c>
      <c r="N2" s="34">
        <v>36</v>
      </c>
      <c r="O2" s="34">
        <v>10</v>
      </c>
      <c r="P2" s="35">
        <v>170</v>
      </c>
      <c r="Q2" s="35">
        <v>123.5</v>
      </c>
      <c r="R2" s="36">
        <v>46.5</v>
      </c>
      <c r="S2" s="32" t="s">
        <v>2250</v>
      </c>
      <c r="T2" s="1" t="s">
        <v>2250</v>
      </c>
      <c r="U2" s="1" t="s">
        <v>2250</v>
      </c>
      <c r="V2" s="1" t="s">
        <v>2250</v>
      </c>
      <c r="W2" s="1" t="s">
        <v>2250</v>
      </c>
      <c r="X2" s="1" t="s">
        <v>2250</v>
      </c>
      <c r="Y2" s="1" t="s">
        <v>2250</v>
      </c>
      <c r="Z2" s="1" t="s">
        <v>2250</v>
      </c>
      <c r="AA2" s="1" t="s">
        <v>2250</v>
      </c>
      <c r="AB2" s="48" t="s">
        <v>2250</v>
      </c>
      <c r="AC2" s="48" t="s">
        <v>2250</v>
      </c>
      <c r="AD2" s="48" t="s">
        <v>2250</v>
      </c>
      <c r="AE2" s="48" t="s">
        <v>2250</v>
      </c>
      <c r="AF2" s="48" t="s">
        <v>2250</v>
      </c>
      <c r="AG2" s="48" t="s">
        <v>2250</v>
      </c>
      <c r="AH2" s="48" t="s">
        <v>2250</v>
      </c>
      <c r="AI2" s="48" t="s">
        <v>2250</v>
      </c>
      <c r="AJ2" s="48" t="s">
        <v>2250</v>
      </c>
      <c r="AK2" s="48" t="s">
        <v>2250</v>
      </c>
      <c r="AL2" s="48" t="s">
        <v>2250</v>
      </c>
      <c r="AM2" s="48" t="s">
        <v>2250</v>
      </c>
      <c r="AN2" s="48">
        <v>14</v>
      </c>
      <c r="AO2" s="48">
        <v>14</v>
      </c>
      <c r="AP2" s="48">
        <v>14</v>
      </c>
      <c r="AQ2" s="48">
        <v>14</v>
      </c>
      <c r="AR2" s="48">
        <v>14</v>
      </c>
      <c r="AS2" s="48">
        <v>20</v>
      </c>
      <c r="AT2" s="48">
        <v>20</v>
      </c>
      <c r="AU2" s="48">
        <v>20</v>
      </c>
      <c r="AV2" s="48">
        <v>20</v>
      </c>
      <c r="AW2" s="48">
        <v>20</v>
      </c>
      <c r="AX2" s="48" t="s">
        <v>2250</v>
      </c>
      <c r="AY2" s="48" t="s">
        <v>2250</v>
      </c>
      <c r="AZ2" s="48" t="s">
        <v>2250</v>
      </c>
      <c r="BA2" s="48" t="s">
        <v>2250</v>
      </c>
      <c r="BB2" s="48" t="s">
        <v>2250</v>
      </c>
      <c r="BC2" s="48" t="s">
        <v>2250</v>
      </c>
      <c r="BD2" s="48" t="s">
        <v>2250</v>
      </c>
      <c r="BE2" s="48" t="s">
        <v>2250</v>
      </c>
      <c r="BF2" s="48" t="s">
        <v>2250</v>
      </c>
      <c r="BG2" s="48" t="s">
        <v>2250</v>
      </c>
      <c r="BH2" s="48" t="s">
        <v>2250</v>
      </c>
      <c r="BI2" s="48" t="s">
        <v>2250</v>
      </c>
      <c r="BJ2" s="48" t="s">
        <v>2250</v>
      </c>
      <c r="BK2" s="48" t="s">
        <v>2250</v>
      </c>
      <c r="BL2" s="48" t="s">
        <v>2250</v>
      </c>
      <c r="BM2" s="48" t="s">
        <v>2250</v>
      </c>
      <c r="BN2" s="48" t="s">
        <v>2250</v>
      </c>
      <c r="BO2" s="48" t="s">
        <v>2250</v>
      </c>
      <c r="BP2" s="48" t="s">
        <v>2250</v>
      </c>
      <c r="BQ2" s="48" t="s">
        <v>2250</v>
      </c>
      <c r="BR2" s="48" t="s">
        <v>2250</v>
      </c>
      <c r="BS2" s="48" t="s">
        <v>2250</v>
      </c>
      <c r="BT2" s="48" t="s">
        <v>2250</v>
      </c>
      <c r="BU2" s="48" t="s">
        <v>2250</v>
      </c>
      <c r="BV2" s="48" t="s">
        <v>2250</v>
      </c>
      <c r="BW2" s="35">
        <v>0</v>
      </c>
    </row>
  </sheetData>
  <sheetProtection autoFilter="0"/>
  <conditionalFormatting sqref="R2">
    <cfRule type="cellIs" dxfId="2" priority="74" operator="lessThan">
      <formula>0</formula>
    </cfRule>
  </conditionalFormatting>
  <conditionalFormatting sqref="H2">
    <cfRule type="duplicateValues" dxfId="0" priority="87"/>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ED2F4-BDF5-47E4-A5FF-CD970B41AFAD}">
  <sheetPr codeName="Sayfa8">
    <tabColor rgb="FF0070C0"/>
  </sheetPr>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7AB48-1581-4550-BE9E-72643F03A22D}">
  <sheetPr codeName="Sayfa12">
    <tabColor rgb="FF4FD5DF"/>
  </sheetPr>
  <dimension ref="A1:AB295"/>
  <sheetViews>
    <sheetView workbookViewId="0">
      <selection activeCell="A2" sqref="A2:XFD91"/>
    </sheetView>
  </sheetViews>
  <sheetFormatPr defaultRowHeight="15" x14ac:dyDescent="0.25"/>
  <cols>
    <col min="1" max="1" width="12.7109375" bestFit="1" customWidth="1"/>
    <col min="2" max="2" width="36.7109375" bestFit="1" customWidth="1"/>
    <col min="3" max="3" width="35.7109375" bestFit="1" customWidth="1"/>
    <col min="4" max="5" width="33.85546875" bestFit="1" customWidth="1"/>
    <col min="6" max="6" width="8.42578125" bestFit="1" customWidth="1"/>
    <col min="7" max="7" width="12.7109375" bestFit="1" customWidth="1"/>
    <col min="8" max="8" width="16" bestFit="1" customWidth="1"/>
    <col min="9" max="9" width="16.5703125" bestFit="1" customWidth="1"/>
    <col min="10" max="10" width="18.42578125" bestFit="1" customWidth="1"/>
    <col min="11" max="11" width="12.42578125" bestFit="1" customWidth="1"/>
    <col min="12" max="12" width="14.140625" bestFit="1" customWidth="1"/>
    <col min="13" max="13" width="9.28515625" bestFit="1" customWidth="1"/>
    <col min="14" max="14" width="33.85546875" bestFit="1" customWidth="1"/>
    <col min="15" max="15" width="9.5703125" bestFit="1" customWidth="1"/>
    <col min="16" max="16" width="17.28515625" bestFit="1" customWidth="1"/>
    <col min="17" max="17" width="16.5703125" bestFit="1" customWidth="1"/>
    <col min="18" max="18" width="92" bestFit="1" customWidth="1"/>
    <col min="19" max="19" width="13.28515625" bestFit="1" customWidth="1"/>
    <col min="20" max="20" width="56.5703125" bestFit="1" customWidth="1"/>
    <col min="21" max="21" width="37" bestFit="1" customWidth="1"/>
    <col min="22" max="22" width="18.7109375" bestFit="1" customWidth="1"/>
    <col min="23" max="23" width="13.85546875" bestFit="1" customWidth="1"/>
    <col min="24" max="24" width="19.7109375" bestFit="1" customWidth="1"/>
    <col min="25" max="25" width="6.42578125" bestFit="1" customWidth="1"/>
    <col min="26" max="26" width="12.7109375" bestFit="1" customWidth="1"/>
    <col min="27" max="28" width="18.5703125" bestFit="1" customWidth="1"/>
  </cols>
  <sheetData>
    <row r="1" spans="1:28" x14ac:dyDescent="0.25">
      <c r="A1" s="21" t="s">
        <v>288</v>
      </c>
      <c r="B1" s="21" t="s">
        <v>289</v>
      </c>
      <c r="C1" s="21" t="s">
        <v>290</v>
      </c>
      <c r="D1" s="21" t="s">
        <v>291</v>
      </c>
      <c r="E1" s="21" t="s">
        <v>292</v>
      </c>
      <c r="F1" s="21" t="s">
        <v>293</v>
      </c>
      <c r="G1" s="21" t="s">
        <v>294</v>
      </c>
      <c r="H1" s="21" t="s">
        <v>295</v>
      </c>
      <c r="I1" s="21" t="s">
        <v>296</v>
      </c>
      <c r="J1" s="21" t="s">
        <v>297</v>
      </c>
      <c r="K1" s="21" t="s">
        <v>298</v>
      </c>
      <c r="L1" s="21" t="s">
        <v>299</v>
      </c>
      <c r="M1" s="21" t="s">
        <v>300</v>
      </c>
      <c r="N1" s="21" t="s">
        <v>301</v>
      </c>
      <c r="O1" s="21" t="s">
        <v>302</v>
      </c>
      <c r="P1" s="21" t="s">
        <v>303</v>
      </c>
      <c r="Q1" s="21" t="s">
        <v>304</v>
      </c>
      <c r="R1" s="21" t="s">
        <v>305</v>
      </c>
      <c r="S1" s="21" t="s">
        <v>306</v>
      </c>
      <c r="T1" s="21" t="s">
        <v>307</v>
      </c>
      <c r="U1" s="21" t="s">
        <v>308</v>
      </c>
      <c r="V1" s="21" t="s">
        <v>309</v>
      </c>
      <c r="W1" s="21" t="s">
        <v>310</v>
      </c>
      <c r="X1" s="21" t="s">
        <v>311</v>
      </c>
      <c r="Y1" s="21" t="s">
        <v>311</v>
      </c>
      <c r="Z1" s="21" t="s">
        <v>312</v>
      </c>
      <c r="AA1" s="21" t="s">
        <v>313</v>
      </c>
      <c r="AB1" s="21" t="s">
        <v>313</v>
      </c>
    </row>
    <row r="2" spans="1:28" x14ac:dyDescent="0.25">
      <c r="A2" s="21" t="s">
        <v>314</v>
      </c>
      <c r="B2" s="21" t="s">
        <v>315</v>
      </c>
      <c r="C2" s="21" t="s">
        <v>198</v>
      </c>
      <c r="D2" s="21" t="s">
        <v>197</v>
      </c>
      <c r="E2" s="21" t="s">
        <v>197</v>
      </c>
      <c r="F2" s="21" t="s">
        <v>316</v>
      </c>
      <c r="G2" s="21" t="s">
        <v>774</v>
      </c>
      <c r="H2" s="21" t="s">
        <v>317</v>
      </c>
      <c r="I2" s="21" t="s">
        <v>318</v>
      </c>
      <c r="J2" s="62">
        <v>45966</v>
      </c>
      <c r="K2" s="62">
        <v>45966</v>
      </c>
      <c r="L2" s="62">
        <v>30372</v>
      </c>
      <c r="M2" s="21" t="s">
        <v>319</v>
      </c>
      <c r="N2" s="21" t="s">
        <v>197</v>
      </c>
      <c r="O2" s="63">
        <v>197.56</v>
      </c>
      <c r="P2" s="21" t="s">
        <v>320</v>
      </c>
      <c r="Q2" s="21" t="s">
        <v>321</v>
      </c>
      <c r="R2" s="21" t="s">
        <v>322</v>
      </c>
      <c r="S2" s="21" t="s">
        <v>323</v>
      </c>
      <c r="T2" s="21" t="s">
        <v>324</v>
      </c>
      <c r="U2" s="21" t="s">
        <v>325</v>
      </c>
      <c r="V2" s="21" t="s">
        <v>326</v>
      </c>
      <c r="W2" s="21" t="s">
        <v>327</v>
      </c>
      <c r="X2" s="21" t="s">
        <v>328</v>
      </c>
      <c r="Z2">
        <v>0</v>
      </c>
      <c r="AA2">
        <v>0</v>
      </c>
    </row>
    <row r="3" spans="1:28" x14ac:dyDescent="0.25">
      <c r="A3" s="21" t="s">
        <v>329</v>
      </c>
      <c r="B3" s="21" t="s">
        <v>315</v>
      </c>
      <c r="C3" s="21" t="s">
        <v>198</v>
      </c>
      <c r="D3" s="21" t="s">
        <v>197</v>
      </c>
      <c r="E3" s="21" t="s">
        <v>197</v>
      </c>
      <c r="F3" s="21" t="s">
        <v>330</v>
      </c>
      <c r="G3" s="21" t="s">
        <v>782</v>
      </c>
      <c r="H3" s="21" t="s">
        <v>331</v>
      </c>
      <c r="I3" s="21" t="s">
        <v>332</v>
      </c>
      <c r="J3" s="62">
        <v>45546</v>
      </c>
      <c r="K3" s="62">
        <v>45546</v>
      </c>
      <c r="L3" s="62">
        <v>33168</v>
      </c>
      <c r="M3" s="21" t="s">
        <v>319</v>
      </c>
      <c r="N3" s="21" t="s">
        <v>197</v>
      </c>
      <c r="O3" s="63">
        <v>180</v>
      </c>
      <c r="P3" s="21" t="s">
        <v>333</v>
      </c>
      <c r="Q3" s="21" t="s">
        <v>334</v>
      </c>
      <c r="R3" s="21" t="s">
        <v>335</v>
      </c>
      <c r="S3" s="21" t="s">
        <v>323</v>
      </c>
      <c r="T3" s="21" t="s">
        <v>324</v>
      </c>
      <c r="U3" s="21" t="s">
        <v>325</v>
      </c>
      <c r="V3" s="21" t="s">
        <v>326</v>
      </c>
      <c r="W3" s="21" t="s">
        <v>336</v>
      </c>
      <c r="X3" s="21" t="s">
        <v>328</v>
      </c>
      <c r="Z3">
        <v>0</v>
      </c>
      <c r="AA3">
        <v>0</v>
      </c>
    </row>
    <row r="4" spans="1:28" x14ac:dyDescent="0.25">
      <c r="A4" s="21" t="s">
        <v>337</v>
      </c>
      <c r="B4" s="21" t="s">
        <v>315</v>
      </c>
      <c r="C4" s="21" t="s">
        <v>198</v>
      </c>
      <c r="D4" s="21" t="s">
        <v>197</v>
      </c>
      <c r="E4" s="21" t="s">
        <v>197</v>
      </c>
      <c r="F4" s="21" t="s">
        <v>338</v>
      </c>
      <c r="G4" s="21" t="s">
        <v>790</v>
      </c>
      <c r="H4" s="21" t="s">
        <v>339</v>
      </c>
      <c r="I4" s="21" t="s">
        <v>340</v>
      </c>
      <c r="J4" s="62">
        <v>42796</v>
      </c>
      <c r="K4" s="62">
        <v>42796</v>
      </c>
      <c r="L4" s="62">
        <v>24231</v>
      </c>
      <c r="M4" s="21" t="s">
        <v>341</v>
      </c>
      <c r="N4" s="21" t="s">
        <v>197</v>
      </c>
      <c r="O4" s="63">
        <v>137.30000000000001</v>
      </c>
      <c r="P4" s="21" t="s">
        <v>342</v>
      </c>
      <c r="Q4" s="21" t="s">
        <v>343</v>
      </c>
      <c r="R4" s="21" t="s">
        <v>344</v>
      </c>
      <c r="S4" s="21" t="s">
        <v>345</v>
      </c>
      <c r="T4" s="21" t="s">
        <v>346</v>
      </c>
      <c r="U4" s="21" t="s">
        <v>347</v>
      </c>
      <c r="V4" s="21" t="s">
        <v>326</v>
      </c>
      <c r="W4" s="21" t="s">
        <v>348</v>
      </c>
      <c r="X4" s="21" t="s">
        <v>328</v>
      </c>
      <c r="Z4">
        <v>0</v>
      </c>
      <c r="AA4">
        <v>0</v>
      </c>
    </row>
    <row r="5" spans="1:28" x14ac:dyDescent="0.25">
      <c r="A5" s="21" t="s">
        <v>329</v>
      </c>
      <c r="B5" s="21" t="s">
        <v>315</v>
      </c>
      <c r="C5" s="21" t="s">
        <v>198</v>
      </c>
      <c r="D5" s="21" t="s">
        <v>197</v>
      </c>
      <c r="E5" s="21" t="s">
        <v>197</v>
      </c>
      <c r="F5" s="21" t="s">
        <v>349</v>
      </c>
      <c r="G5" s="21" t="s">
        <v>814</v>
      </c>
      <c r="H5" s="21" t="s">
        <v>350</v>
      </c>
      <c r="I5" s="21" t="s">
        <v>351</v>
      </c>
      <c r="J5" s="62">
        <v>45950</v>
      </c>
      <c r="K5" s="62">
        <v>45950</v>
      </c>
      <c r="L5" s="62">
        <v>32445</v>
      </c>
      <c r="M5" s="21" t="s">
        <v>319</v>
      </c>
      <c r="N5" s="21" t="s">
        <v>197</v>
      </c>
      <c r="O5" s="63">
        <v>180.63</v>
      </c>
      <c r="P5" s="21" t="s">
        <v>352</v>
      </c>
      <c r="Q5" s="21" t="s">
        <v>353</v>
      </c>
      <c r="R5" s="21" t="s">
        <v>354</v>
      </c>
      <c r="S5" s="21" t="s">
        <v>323</v>
      </c>
      <c r="T5" s="21" t="s">
        <v>324</v>
      </c>
      <c r="U5" s="21" t="s">
        <v>325</v>
      </c>
      <c r="V5" s="21" t="s">
        <v>355</v>
      </c>
      <c r="W5" s="21" t="s">
        <v>356</v>
      </c>
      <c r="X5" s="21" t="s">
        <v>328</v>
      </c>
      <c r="Z5">
        <v>0</v>
      </c>
      <c r="AA5">
        <v>0</v>
      </c>
    </row>
    <row r="6" spans="1:28" x14ac:dyDescent="0.25">
      <c r="A6" s="21" t="s">
        <v>314</v>
      </c>
      <c r="B6" s="21" t="s">
        <v>315</v>
      </c>
      <c r="C6" s="21" t="s">
        <v>198</v>
      </c>
      <c r="D6" s="21" t="s">
        <v>197</v>
      </c>
      <c r="E6" s="21" t="s">
        <v>197</v>
      </c>
      <c r="F6" s="21" t="s">
        <v>357</v>
      </c>
      <c r="G6" s="21" t="s">
        <v>815</v>
      </c>
      <c r="H6" s="21" t="s">
        <v>358</v>
      </c>
      <c r="I6" s="21" t="s">
        <v>359</v>
      </c>
      <c r="J6" s="62">
        <v>46071</v>
      </c>
      <c r="K6" s="62">
        <v>46071</v>
      </c>
      <c r="L6" s="62">
        <v>28654</v>
      </c>
      <c r="M6" s="21" t="s">
        <v>319</v>
      </c>
      <c r="N6" s="21" t="s">
        <v>197</v>
      </c>
      <c r="O6" s="63">
        <v>213.34</v>
      </c>
      <c r="P6" s="21" t="s">
        <v>333</v>
      </c>
      <c r="Q6" s="21" t="s">
        <v>360</v>
      </c>
      <c r="R6" s="21" t="s">
        <v>361</v>
      </c>
      <c r="S6" s="21" t="s">
        <v>323</v>
      </c>
      <c r="T6" s="21" t="s">
        <v>324</v>
      </c>
      <c r="U6" s="21" t="s">
        <v>362</v>
      </c>
      <c r="V6" s="21" t="s">
        <v>355</v>
      </c>
      <c r="W6" s="21" t="s">
        <v>363</v>
      </c>
      <c r="X6" s="21" t="s">
        <v>328</v>
      </c>
      <c r="Z6">
        <v>0</v>
      </c>
      <c r="AA6">
        <v>0</v>
      </c>
    </row>
    <row r="7" spans="1:28" x14ac:dyDescent="0.25">
      <c r="A7" s="21" t="s">
        <v>364</v>
      </c>
      <c r="B7" s="21" t="s">
        <v>315</v>
      </c>
      <c r="C7" s="21" t="s">
        <v>198</v>
      </c>
      <c r="D7" s="21" t="s">
        <v>197</v>
      </c>
      <c r="E7" s="21" t="s">
        <v>197</v>
      </c>
      <c r="F7" s="21" t="s">
        <v>365</v>
      </c>
      <c r="G7" s="21" t="s">
        <v>816</v>
      </c>
      <c r="H7" s="21" t="s">
        <v>366</v>
      </c>
      <c r="I7" s="21" t="s">
        <v>367</v>
      </c>
      <c r="J7" s="62">
        <v>41414</v>
      </c>
      <c r="K7" s="62">
        <v>41414</v>
      </c>
      <c r="L7" s="62">
        <v>27279</v>
      </c>
      <c r="M7" s="21" t="s">
        <v>319</v>
      </c>
      <c r="N7" s="21" t="s">
        <v>197</v>
      </c>
      <c r="O7" s="63">
        <v>137.30000000000001</v>
      </c>
      <c r="P7" s="21" t="s">
        <v>368</v>
      </c>
      <c r="Q7" s="21" t="s">
        <v>321</v>
      </c>
      <c r="R7" s="21" t="s">
        <v>369</v>
      </c>
      <c r="S7" s="21" t="s">
        <v>323</v>
      </c>
      <c r="T7" s="21" t="s">
        <v>324</v>
      </c>
      <c r="U7" s="21" t="s">
        <v>325</v>
      </c>
      <c r="V7" s="21" t="s">
        <v>370</v>
      </c>
      <c r="W7" s="21" t="s">
        <v>371</v>
      </c>
      <c r="X7" s="21" t="s">
        <v>328</v>
      </c>
      <c r="Z7">
        <v>0</v>
      </c>
      <c r="AA7">
        <v>0</v>
      </c>
    </row>
    <row r="8" spans="1:28" x14ac:dyDescent="0.25">
      <c r="A8" s="21" t="s">
        <v>329</v>
      </c>
      <c r="B8" s="21" t="s">
        <v>315</v>
      </c>
      <c r="C8" s="21" t="s">
        <v>198</v>
      </c>
      <c r="D8" s="21" t="s">
        <v>197</v>
      </c>
      <c r="E8" s="21" t="s">
        <v>197</v>
      </c>
      <c r="F8" s="21" t="s">
        <v>376</v>
      </c>
      <c r="G8" s="21" t="s">
        <v>840</v>
      </c>
      <c r="H8" s="21" t="s">
        <v>377</v>
      </c>
      <c r="I8" s="21" t="s">
        <v>378</v>
      </c>
      <c r="J8" s="62">
        <v>45950</v>
      </c>
      <c r="K8" s="62">
        <v>45950</v>
      </c>
      <c r="L8" s="62">
        <v>33093</v>
      </c>
      <c r="M8" s="21" t="s">
        <v>341</v>
      </c>
      <c r="N8" s="21" t="s">
        <v>197</v>
      </c>
      <c r="O8" s="63">
        <v>180.63</v>
      </c>
      <c r="P8" s="21" t="s">
        <v>379</v>
      </c>
      <c r="Q8" s="21" t="s">
        <v>380</v>
      </c>
      <c r="R8" s="21" t="s">
        <v>381</v>
      </c>
      <c r="S8" s="21" t="s">
        <v>323</v>
      </c>
      <c r="T8" s="21" t="s">
        <v>324</v>
      </c>
      <c r="U8" s="21" t="s">
        <v>325</v>
      </c>
      <c r="V8" s="21" t="s">
        <v>370</v>
      </c>
      <c r="W8" s="21" t="s">
        <v>382</v>
      </c>
      <c r="X8" s="21" t="s">
        <v>328</v>
      </c>
      <c r="Z8">
        <v>0</v>
      </c>
      <c r="AA8">
        <v>0</v>
      </c>
    </row>
    <row r="9" spans="1:28" x14ac:dyDescent="0.25">
      <c r="A9" s="21" t="s">
        <v>337</v>
      </c>
      <c r="B9" s="21" t="s">
        <v>315</v>
      </c>
      <c r="C9" s="21" t="s">
        <v>198</v>
      </c>
      <c r="D9" s="21" t="s">
        <v>197</v>
      </c>
      <c r="E9" s="21" t="s">
        <v>197</v>
      </c>
      <c r="F9" s="21" t="s">
        <v>2292</v>
      </c>
      <c r="G9" s="21" t="s">
        <v>841</v>
      </c>
      <c r="H9" s="21" t="s">
        <v>383</v>
      </c>
      <c r="I9" s="21" t="s">
        <v>384</v>
      </c>
      <c r="J9" s="62">
        <v>46118</v>
      </c>
      <c r="K9" s="62">
        <v>46118</v>
      </c>
      <c r="L9" s="62">
        <v>29540</v>
      </c>
      <c r="M9" s="21" t="s">
        <v>341</v>
      </c>
      <c r="N9" s="21" t="s">
        <v>197</v>
      </c>
      <c r="O9" s="63">
        <v>173.56</v>
      </c>
      <c r="P9" s="21" t="s">
        <v>385</v>
      </c>
      <c r="Q9" s="21" t="s">
        <v>386</v>
      </c>
      <c r="R9" s="21" t="s">
        <v>2293</v>
      </c>
      <c r="S9" s="21" t="s">
        <v>323</v>
      </c>
      <c r="T9" s="21" t="s">
        <v>324</v>
      </c>
      <c r="U9" s="21" t="s">
        <v>325</v>
      </c>
      <c r="V9" s="21" t="s">
        <v>355</v>
      </c>
      <c r="W9" s="21" t="s">
        <v>390</v>
      </c>
      <c r="X9" s="21" t="s">
        <v>375</v>
      </c>
      <c r="Z9">
        <v>0</v>
      </c>
      <c r="AA9">
        <v>0</v>
      </c>
    </row>
    <row r="10" spans="1:28" x14ac:dyDescent="0.25">
      <c r="A10" s="21" t="s">
        <v>329</v>
      </c>
      <c r="B10" s="21" t="s">
        <v>315</v>
      </c>
      <c r="C10" s="21" t="s">
        <v>198</v>
      </c>
      <c r="D10" s="21" t="s">
        <v>197</v>
      </c>
      <c r="E10" s="21" t="s">
        <v>197</v>
      </c>
      <c r="F10" s="21" t="s">
        <v>391</v>
      </c>
      <c r="G10" s="21" t="s">
        <v>842</v>
      </c>
      <c r="H10" s="21" t="s">
        <v>392</v>
      </c>
      <c r="I10" s="21" t="s">
        <v>393</v>
      </c>
      <c r="J10" s="62">
        <v>46084</v>
      </c>
      <c r="K10" s="62">
        <v>46084</v>
      </c>
      <c r="L10" s="62">
        <v>29651</v>
      </c>
      <c r="M10" s="21" t="s">
        <v>341</v>
      </c>
      <c r="N10" s="21" t="s">
        <v>197</v>
      </c>
      <c r="O10" s="63">
        <v>146.66999999999999</v>
      </c>
      <c r="P10" s="21" t="s">
        <v>394</v>
      </c>
      <c r="Q10" s="21" t="s">
        <v>350</v>
      </c>
      <c r="R10" s="21" t="s">
        <v>395</v>
      </c>
      <c r="S10" s="21" t="s">
        <v>396</v>
      </c>
      <c r="T10" s="21" t="s">
        <v>397</v>
      </c>
      <c r="U10" s="21" t="s">
        <v>398</v>
      </c>
      <c r="V10" s="21" t="s">
        <v>355</v>
      </c>
      <c r="W10" s="21" t="s">
        <v>399</v>
      </c>
      <c r="X10" s="21" t="s">
        <v>328</v>
      </c>
      <c r="Z10">
        <v>0</v>
      </c>
      <c r="AA10">
        <v>0</v>
      </c>
    </row>
    <row r="11" spans="1:28" x14ac:dyDescent="0.25">
      <c r="A11" s="21" t="s">
        <v>337</v>
      </c>
      <c r="B11" s="21" t="s">
        <v>315</v>
      </c>
      <c r="C11" s="21" t="s">
        <v>198</v>
      </c>
      <c r="D11" s="21" t="s">
        <v>197</v>
      </c>
      <c r="E11" s="21" t="s">
        <v>197</v>
      </c>
      <c r="F11" s="21" t="s">
        <v>400</v>
      </c>
      <c r="G11" s="21" t="s">
        <v>851</v>
      </c>
      <c r="H11" s="21" t="s">
        <v>401</v>
      </c>
      <c r="I11" s="21" t="s">
        <v>402</v>
      </c>
      <c r="J11" s="62">
        <v>41050</v>
      </c>
      <c r="K11" s="62">
        <v>41050</v>
      </c>
      <c r="L11" s="62">
        <v>27982</v>
      </c>
      <c r="M11" s="21" t="s">
        <v>319</v>
      </c>
      <c r="N11" s="21" t="s">
        <v>197</v>
      </c>
      <c r="O11" s="63">
        <v>137.30000000000001</v>
      </c>
      <c r="P11" s="21" t="s">
        <v>403</v>
      </c>
      <c r="Q11" s="21" t="s">
        <v>404</v>
      </c>
      <c r="R11" s="21" t="s">
        <v>405</v>
      </c>
      <c r="S11" s="21" t="s">
        <v>406</v>
      </c>
      <c r="T11" s="21" t="s">
        <v>407</v>
      </c>
      <c r="U11" s="21" t="s">
        <v>347</v>
      </c>
      <c r="V11" s="21" t="s">
        <v>370</v>
      </c>
      <c r="W11" s="21" t="s">
        <v>408</v>
      </c>
      <c r="X11" s="21" t="s">
        <v>328</v>
      </c>
      <c r="Z11">
        <v>0</v>
      </c>
      <c r="AA11">
        <v>0</v>
      </c>
    </row>
    <row r="12" spans="1:28" x14ac:dyDescent="0.25">
      <c r="A12" s="21" t="s">
        <v>314</v>
      </c>
      <c r="B12" s="21" t="s">
        <v>315</v>
      </c>
      <c r="C12" s="21" t="s">
        <v>198</v>
      </c>
      <c r="D12" s="21" t="s">
        <v>197</v>
      </c>
      <c r="E12" s="21" t="s">
        <v>197</v>
      </c>
      <c r="F12" s="21" t="s">
        <v>409</v>
      </c>
      <c r="G12" s="21" t="s">
        <v>852</v>
      </c>
      <c r="H12" s="21" t="s">
        <v>410</v>
      </c>
      <c r="I12" s="21" t="s">
        <v>411</v>
      </c>
      <c r="J12" s="62">
        <v>44979</v>
      </c>
      <c r="K12" s="62">
        <v>44979</v>
      </c>
      <c r="L12" s="62">
        <v>30847</v>
      </c>
      <c r="M12" s="21" t="s">
        <v>319</v>
      </c>
      <c r="N12" s="21" t="s">
        <v>197</v>
      </c>
      <c r="O12" s="63">
        <v>151.41999999999999</v>
      </c>
      <c r="P12" s="21" t="s">
        <v>412</v>
      </c>
      <c r="Q12" s="21" t="s">
        <v>353</v>
      </c>
      <c r="R12" s="21" t="s">
        <v>413</v>
      </c>
      <c r="S12" s="21" t="s">
        <v>323</v>
      </c>
      <c r="T12" s="21" t="s">
        <v>324</v>
      </c>
      <c r="U12" s="21" t="s">
        <v>414</v>
      </c>
      <c r="V12" s="21" t="s">
        <v>355</v>
      </c>
      <c r="W12" s="21" t="s">
        <v>415</v>
      </c>
      <c r="X12" s="21" t="s">
        <v>328</v>
      </c>
      <c r="Z12">
        <v>0</v>
      </c>
      <c r="AA12">
        <v>0</v>
      </c>
    </row>
    <row r="13" spans="1:28" x14ac:dyDescent="0.25">
      <c r="A13" s="21" t="s">
        <v>337</v>
      </c>
      <c r="B13" s="21" t="s">
        <v>315</v>
      </c>
      <c r="C13" s="21" t="s">
        <v>198</v>
      </c>
      <c r="D13" s="21" t="s">
        <v>197</v>
      </c>
      <c r="E13" s="21" t="s">
        <v>197</v>
      </c>
      <c r="F13" s="21" t="s">
        <v>416</v>
      </c>
      <c r="G13" s="21" t="s">
        <v>874</v>
      </c>
      <c r="H13" s="21" t="s">
        <v>417</v>
      </c>
      <c r="I13" s="21" t="s">
        <v>418</v>
      </c>
      <c r="J13" s="62">
        <v>43010</v>
      </c>
      <c r="K13" s="62">
        <v>43010</v>
      </c>
      <c r="L13" s="62">
        <v>25260</v>
      </c>
      <c r="M13" s="21" t="s">
        <v>341</v>
      </c>
      <c r="N13" s="21" t="s">
        <v>197</v>
      </c>
      <c r="O13" s="63">
        <v>141.12</v>
      </c>
      <c r="P13" s="21" t="s">
        <v>419</v>
      </c>
      <c r="Q13" s="21" t="s">
        <v>420</v>
      </c>
      <c r="R13" s="21" t="s">
        <v>421</v>
      </c>
      <c r="S13" s="21" t="s">
        <v>345</v>
      </c>
      <c r="T13" s="21" t="s">
        <v>346</v>
      </c>
      <c r="U13" s="21" t="s">
        <v>422</v>
      </c>
      <c r="V13" s="21" t="s">
        <v>326</v>
      </c>
      <c r="W13" s="21" t="s">
        <v>423</v>
      </c>
      <c r="X13" s="21" t="s">
        <v>328</v>
      </c>
      <c r="Z13">
        <v>0</v>
      </c>
      <c r="AA13">
        <v>0</v>
      </c>
    </row>
    <row r="14" spans="1:28" x14ac:dyDescent="0.25">
      <c r="A14" s="21" t="s">
        <v>314</v>
      </c>
      <c r="B14" s="21" t="s">
        <v>315</v>
      </c>
      <c r="C14" s="21" t="s">
        <v>198</v>
      </c>
      <c r="D14" s="21" t="s">
        <v>197</v>
      </c>
      <c r="E14" s="21" t="s">
        <v>197</v>
      </c>
      <c r="F14" s="21" t="s">
        <v>424</v>
      </c>
      <c r="G14" s="21" t="s">
        <v>875</v>
      </c>
      <c r="H14" s="21" t="s">
        <v>425</v>
      </c>
      <c r="I14" s="21" t="s">
        <v>426</v>
      </c>
      <c r="J14" s="62">
        <v>45950</v>
      </c>
      <c r="K14" s="62">
        <v>45950</v>
      </c>
      <c r="L14" s="62">
        <v>27973</v>
      </c>
      <c r="M14" s="21" t="s">
        <v>341</v>
      </c>
      <c r="N14" s="21" t="s">
        <v>197</v>
      </c>
      <c r="O14" s="63">
        <v>137.27000000000001</v>
      </c>
      <c r="P14" s="21" t="s">
        <v>427</v>
      </c>
      <c r="Q14" s="21" t="s">
        <v>428</v>
      </c>
      <c r="R14" s="21" t="s">
        <v>429</v>
      </c>
      <c r="S14" s="21" t="s">
        <v>406</v>
      </c>
      <c r="T14" s="21" t="s">
        <v>407</v>
      </c>
      <c r="U14" s="21" t="s">
        <v>430</v>
      </c>
      <c r="V14" s="21" t="s">
        <v>355</v>
      </c>
      <c r="W14" s="21" t="s">
        <v>431</v>
      </c>
      <c r="X14" s="21" t="s">
        <v>328</v>
      </c>
      <c r="Z14">
        <v>0</v>
      </c>
      <c r="AA14">
        <v>0</v>
      </c>
    </row>
    <row r="15" spans="1:28" x14ac:dyDescent="0.25">
      <c r="A15" s="21" t="s">
        <v>314</v>
      </c>
      <c r="B15" s="21" t="s">
        <v>315</v>
      </c>
      <c r="C15" s="21" t="s">
        <v>198</v>
      </c>
      <c r="D15" s="21" t="s">
        <v>197</v>
      </c>
      <c r="E15" s="21" t="s">
        <v>197</v>
      </c>
      <c r="F15" s="21" t="s">
        <v>432</v>
      </c>
      <c r="G15" s="21" t="s">
        <v>879</v>
      </c>
      <c r="H15" s="21" t="s">
        <v>425</v>
      </c>
      <c r="I15" s="21" t="s">
        <v>433</v>
      </c>
      <c r="J15" s="62">
        <v>46034</v>
      </c>
      <c r="K15" s="62">
        <v>46034</v>
      </c>
      <c r="L15" s="62">
        <v>29221</v>
      </c>
      <c r="M15" s="21" t="s">
        <v>341</v>
      </c>
      <c r="N15" s="21" t="s">
        <v>197</v>
      </c>
      <c r="O15" s="63">
        <v>173.56</v>
      </c>
      <c r="P15" s="21" t="s">
        <v>434</v>
      </c>
      <c r="Q15" s="21" t="s">
        <v>321</v>
      </c>
      <c r="R15" s="21" t="s">
        <v>435</v>
      </c>
      <c r="S15" s="21" t="s">
        <v>387</v>
      </c>
      <c r="T15" s="21" t="s">
        <v>388</v>
      </c>
      <c r="U15" s="21" t="s">
        <v>389</v>
      </c>
      <c r="V15" s="21" t="s">
        <v>326</v>
      </c>
      <c r="W15" s="21" t="s">
        <v>436</v>
      </c>
      <c r="X15" s="21" t="s">
        <v>328</v>
      </c>
      <c r="Z15">
        <v>0</v>
      </c>
      <c r="AA15">
        <v>0</v>
      </c>
    </row>
    <row r="16" spans="1:28" x14ac:dyDescent="0.25">
      <c r="A16" s="21" t="s">
        <v>337</v>
      </c>
      <c r="B16" s="21" t="s">
        <v>315</v>
      </c>
      <c r="C16" s="21" t="s">
        <v>198</v>
      </c>
      <c r="D16" s="21" t="s">
        <v>197</v>
      </c>
      <c r="E16" s="21" t="s">
        <v>197</v>
      </c>
      <c r="F16" s="21" t="s">
        <v>437</v>
      </c>
      <c r="G16" s="21" t="s">
        <v>882</v>
      </c>
      <c r="H16" s="21" t="s">
        <v>438</v>
      </c>
      <c r="I16" s="21" t="s">
        <v>439</v>
      </c>
      <c r="J16" s="62">
        <v>45174</v>
      </c>
      <c r="K16" s="62">
        <v>45174</v>
      </c>
      <c r="L16" s="62">
        <v>31218</v>
      </c>
      <c r="M16" s="21" t="s">
        <v>341</v>
      </c>
      <c r="N16" s="21" t="s">
        <v>197</v>
      </c>
      <c r="O16" s="63">
        <v>171.53</v>
      </c>
      <c r="P16" s="21" t="s">
        <v>440</v>
      </c>
      <c r="Q16" s="21" t="s">
        <v>441</v>
      </c>
      <c r="R16" s="21" t="s">
        <v>442</v>
      </c>
      <c r="S16" s="21" t="s">
        <v>323</v>
      </c>
      <c r="T16" s="21" t="s">
        <v>324</v>
      </c>
      <c r="U16" s="21" t="s">
        <v>325</v>
      </c>
      <c r="V16" s="21" t="s">
        <v>326</v>
      </c>
      <c r="W16" s="21" t="s">
        <v>443</v>
      </c>
      <c r="X16" s="21" t="s">
        <v>328</v>
      </c>
      <c r="Z16">
        <v>0</v>
      </c>
      <c r="AA16">
        <v>0</v>
      </c>
    </row>
    <row r="17" spans="1:27" x14ac:dyDescent="0.25">
      <c r="A17" s="21" t="s">
        <v>444</v>
      </c>
      <c r="B17" s="21" t="s">
        <v>315</v>
      </c>
      <c r="C17" s="21" t="s">
        <v>198</v>
      </c>
      <c r="D17" s="21" t="s">
        <v>197</v>
      </c>
      <c r="E17" s="21" t="s">
        <v>197</v>
      </c>
      <c r="F17" s="21" t="s">
        <v>445</v>
      </c>
      <c r="G17" s="21" t="s">
        <v>890</v>
      </c>
      <c r="H17" s="21" t="s">
        <v>446</v>
      </c>
      <c r="I17" s="21" t="s">
        <v>447</v>
      </c>
      <c r="J17" s="62">
        <v>45432</v>
      </c>
      <c r="K17" s="62">
        <v>45432</v>
      </c>
      <c r="L17" s="62">
        <v>33974</v>
      </c>
      <c r="M17" s="21" t="s">
        <v>341</v>
      </c>
      <c r="N17" s="21" t="s">
        <v>197</v>
      </c>
      <c r="O17" s="63">
        <v>173.56</v>
      </c>
      <c r="P17" s="21" t="s">
        <v>448</v>
      </c>
      <c r="Q17" s="21" t="s">
        <v>350</v>
      </c>
      <c r="R17" s="21" t="s">
        <v>449</v>
      </c>
      <c r="S17" s="21" t="s">
        <v>323</v>
      </c>
      <c r="T17" s="21" t="s">
        <v>324</v>
      </c>
      <c r="U17" s="21" t="s">
        <v>325</v>
      </c>
      <c r="V17" s="21" t="s">
        <v>450</v>
      </c>
      <c r="W17" s="21" t="s">
        <v>451</v>
      </c>
      <c r="X17" s="21" t="s">
        <v>328</v>
      </c>
      <c r="Z17">
        <v>0</v>
      </c>
      <c r="AA17">
        <v>0</v>
      </c>
    </row>
    <row r="18" spans="1:27" x14ac:dyDescent="0.25">
      <c r="A18" s="21" t="s">
        <v>314</v>
      </c>
      <c r="B18" s="21" t="s">
        <v>315</v>
      </c>
      <c r="C18" s="21" t="s">
        <v>198</v>
      </c>
      <c r="D18" s="21" t="s">
        <v>197</v>
      </c>
      <c r="E18" s="21" t="s">
        <v>197</v>
      </c>
      <c r="F18" s="21" t="s">
        <v>452</v>
      </c>
      <c r="G18" s="21" t="s">
        <v>891</v>
      </c>
      <c r="H18" s="21" t="s">
        <v>453</v>
      </c>
      <c r="I18" s="21" t="s">
        <v>318</v>
      </c>
      <c r="J18" s="62">
        <v>44348</v>
      </c>
      <c r="K18" s="62">
        <v>44621</v>
      </c>
      <c r="L18" s="62">
        <v>26113</v>
      </c>
      <c r="M18" s="21" t="s">
        <v>341</v>
      </c>
      <c r="N18" s="21" t="s">
        <v>197</v>
      </c>
      <c r="O18" s="63">
        <v>141.12</v>
      </c>
      <c r="P18" s="21" t="s">
        <v>454</v>
      </c>
      <c r="Q18" s="21" t="s">
        <v>455</v>
      </c>
      <c r="R18" s="21" t="s">
        <v>456</v>
      </c>
      <c r="S18" s="21" t="s">
        <v>345</v>
      </c>
      <c r="T18" s="21" t="s">
        <v>346</v>
      </c>
      <c r="U18" s="21" t="s">
        <v>422</v>
      </c>
      <c r="V18" s="21" t="s">
        <v>326</v>
      </c>
      <c r="W18" s="21" t="s">
        <v>457</v>
      </c>
      <c r="X18" s="21" t="s">
        <v>328</v>
      </c>
      <c r="Z18">
        <v>0</v>
      </c>
      <c r="AA18">
        <v>0</v>
      </c>
    </row>
    <row r="19" spans="1:27" x14ac:dyDescent="0.25">
      <c r="A19" s="21" t="s">
        <v>329</v>
      </c>
      <c r="B19" s="21" t="s">
        <v>315</v>
      </c>
      <c r="C19" s="21" t="s">
        <v>198</v>
      </c>
      <c r="D19" s="21" t="s">
        <v>197</v>
      </c>
      <c r="E19" s="21" t="s">
        <v>197</v>
      </c>
      <c r="F19" s="21" t="s">
        <v>458</v>
      </c>
      <c r="G19" s="21" t="s">
        <v>892</v>
      </c>
      <c r="H19" s="21" t="s">
        <v>453</v>
      </c>
      <c r="I19" s="21" t="s">
        <v>459</v>
      </c>
      <c r="J19" s="62">
        <v>46027</v>
      </c>
      <c r="K19" s="62">
        <v>46027</v>
      </c>
      <c r="L19" s="62">
        <v>27214</v>
      </c>
      <c r="M19" s="21" t="s">
        <v>341</v>
      </c>
      <c r="N19" s="21" t="s">
        <v>197</v>
      </c>
      <c r="O19" s="63">
        <v>134.16</v>
      </c>
      <c r="P19" s="21" t="s">
        <v>460</v>
      </c>
      <c r="Q19" s="21" t="s">
        <v>461</v>
      </c>
      <c r="R19" s="21" t="s">
        <v>462</v>
      </c>
      <c r="S19" s="21" t="s">
        <v>406</v>
      </c>
      <c r="T19" s="21" t="s">
        <v>407</v>
      </c>
      <c r="U19" s="21" t="s">
        <v>430</v>
      </c>
      <c r="V19" s="21" t="s">
        <v>355</v>
      </c>
      <c r="W19" s="21" t="s">
        <v>463</v>
      </c>
      <c r="X19" s="21" t="s">
        <v>375</v>
      </c>
      <c r="Z19">
        <v>0</v>
      </c>
      <c r="AA19">
        <v>0</v>
      </c>
    </row>
    <row r="20" spans="1:27" x14ac:dyDescent="0.25">
      <c r="A20" s="21" t="s">
        <v>364</v>
      </c>
      <c r="B20" s="21" t="s">
        <v>315</v>
      </c>
      <c r="C20" s="21" t="s">
        <v>198</v>
      </c>
      <c r="D20" s="21" t="s">
        <v>197</v>
      </c>
      <c r="E20" s="21" t="s">
        <v>197</v>
      </c>
      <c r="F20" s="21" t="s">
        <v>2327</v>
      </c>
      <c r="G20" s="21" t="s">
        <v>2328</v>
      </c>
      <c r="H20" s="21" t="s">
        <v>2329</v>
      </c>
      <c r="I20" s="21" t="s">
        <v>741</v>
      </c>
      <c r="J20" s="62">
        <v>46153</v>
      </c>
      <c r="K20" s="62">
        <v>46153</v>
      </c>
      <c r="L20" s="62">
        <v>27616</v>
      </c>
      <c r="M20" s="21" t="s">
        <v>341</v>
      </c>
      <c r="N20" s="21" t="s">
        <v>197</v>
      </c>
      <c r="O20" s="63">
        <v>160</v>
      </c>
      <c r="P20" s="21" t="s">
        <v>2022</v>
      </c>
      <c r="Q20" s="21" t="s">
        <v>461</v>
      </c>
      <c r="R20" s="21" t="s">
        <v>2330</v>
      </c>
      <c r="S20" s="21" t="s">
        <v>323</v>
      </c>
      <c r="T20" s="21" t="s">
        <v>324</v>
      </c>
      <c r="U20" s="21" t="s">
        <v>325</v>
      </c>
      <c r="V20" s="21" t="s">
        <v>326</v>
      </c>
      <c r="W20" s="21" t="s">
        <v>2331</v>
      </c>
      <c r="X20" s="21" t="s">
        <v>328</v>
      </c>
      <c r="Z20">
        <v>0</v>
      </c>
      <c r="AA20">
        <v>0</v>
      </c>
    </row>
    <row r="21" spans="1:27" x14ac:dyDescent="0.25">
      <c r="A21" s="21" t="s">
        <v>314</v>
      </c>
      <c r="B21" s="21" t="s">
        <v>315</v>
      </c>
      <c r="C21" s="21" t="s">
        <v>198</v>
      </c>
      <c r="D21" s="21" t="s">
        <v>197</v>
      </c>
      <c r="E21" s="21" t="s">
        <v>197</v>
      </c>
      <c r="F21" s="21" t="s">
        <v>465</v>
      </c>
      <c r="G21" s="21" t="s">
        <v>921</v>
      </c>
      <c r="H21" s="21" t="s">
        <v>466</v>
      </c>
      <c r="I21" s="21" t="s">
        <v>467</v>
      </c>
      <c r="J21" s="62">
        <v>43374</v>
      </c>
      <c r="K21" s="62">
        <v>43374</v>
      </c>
      <c r="L21" s="62">
        <v>29874</v>
      </c>
      <c r="M21" s="21" t="s">
        <v>341</v>
      </c>
      <c r="N21" s="21" t="s">
        <v>197</v>
      </c>
      <c r="O21" s="63">
        <v>146.76</v>
      </c>
      <c r="P21" s="21" t="s">
        <v>468</v>
      </c>
      <c r="Q21" s="21" t="s">
        <v>469</v>
      </c>
      <c r="R21" s="21" t="s">
        <v>470</v>
      </c>
      <c r="S21" s="21" t="s">
        <v>406</v>
      </c>
      <c r="T21" s="21" t="s">
        <v>407</v>
      </c>
      <c r="U21" s="21" t="s">
        <v>471</v>
      </c>
      <c r="V21" s="21" t="s">
        <v>326</v>
      </c>
      <c r="W21" s="21" t="s">
        <v>472</v>
      </c>
      <c r="X21" s="21" t="s">
        <v>328</v>
      </c>
      <c r="Z21">
        <v>0</v>
      </c>
      <c r="AA21">
        <v>0</v>
      </c>
    </row>
    <row r="22" spans="1:27" x14ac:dyDescent="0.25">
      <c r="A22" s="21" t="s">
        <v>329</v>
      </c>
      <c r="B22" s="21" t="s">
        <v>315</v>
      </c>
      <c r="C22" s="21" t="s">
        <v>198</v>
      </c>
      <c r="D22" s="21" t="s">
        <v>197</v>
      </c>
      <c r="E22" s="21" t="s">
        <v>197</v>
      </c>
      <c r="F22" s="21" t="s">
        <v>2294</v>
      </c>
      <c r="G22" s="21" t="s">
        <v>2295</v>
      </c>
      <c r="H22" s="21" t="s">
        <v>947</v>
      </c>
      <c r="I22" s="21" t="s">
        <v>1562</v>
      </c>
      <c r="J22" s="62">
        <v>46113</v>
      </c>
      <c r="K22" s="62">
        <v>46113</v>
      </c>
      <c r="L22" s="62">
        <v>33592</v>
      </c>
      <c r="M22" s="21" t="s">
        <v>341</v>
      </c>
      <c r="N22" s="21" t="s">
        <v>197</v>
      </c>
      <c r="O22" s="63">
        <v>245.45</v>
      </c>
      <c r="P22" s="21" t="s">
        <v>506</v>
      </c>
      <c r="Q22" s="21" t="s">
        <v>404</v>
      </c>
      <c r="R22" s="21" t="s">
        <v>2296</v>
      </c>
      <c r="S22" s="21" t="s">
        <v>1096</v>
      </c>
      <c r="T22" s="21" t="s">
        <v>1097</v>
      </c>
      <c r="U22" s="21" t="s">
        <v>1098</v>
      </c>
      <c r="V22" s="21" t="s">
        <v>355</v>
      </c>
      <c r="W22" s="21" t="s">
        <v>2297</v>
      </c>
      <c r="X22" s="21" t="s">
        <v>328</v>
      </c>
      <c r="Z22">
        <v>0</v>
      </c>
      <c r="AA22">
        <v>0</v>
      </c>
    </row>
    <row r="23" spans="1:27" x14ac:dyDescent="0.25">
      <c r="A23" s="21" t="s">
        <v>364</v>
      </c>
      <c r="B23" s="21" t="s">
        <v>315</v>
      </c>
      <c r="C23" s="21" t="s">
        <v>198</v>
      </c>
      <c r="D23" s="21" t="s">
        <v>197</v>
      </c>
      <c r="E23" s="21" t="s">
        <v>197</v>
      </c>
      <c r="F23" s="21" t="s">
        <v>2358</v>
      </c>
      <c r="G23" s="21" t="s">
        <v>2359</v>
      </c>
      <c r="H23" s="21" t="s">
        <v>947</v>
      </c>
      <c r="I23" s="21" t="s">
        <v>2360</v>
      </c>
      <c r="J23" s="62">
        <v>46174</v>
      </c>
      <c r="K23" s="62">
        <v>46174</v>
      </c>
      <c r="L23" s="62">
        <v>33953</v>
      </c>
      <c r="M23" s="21" t="s">
        <v>341</v>
      </c>
      <c r="N23" s="21" t="s">
        <v>197</v>
      </c>
      <c r="O23" s="63">
        <v>173.34</v>
      </c>
      <c r="P23" s="21" t="s">
        <v>2361</v>
      </c>
      <c r="Q23" s="21" t="s">
        <v>2362</v>
      </c>
      <c r="R23" s="21" t="s">
        <v>2363</v>
      </c>
      <c r="S23" s="21" t="s">
        <v>323</v>
      </c>
      <c r="T23" s="21" t="s">
        <v>324</v>
      </c>
      <c r="U23" s="21" t="s">
        <v>325</v>
      </c>
      <c r="V23" s="21" t="s">
        <v>326</v>
      </c>
      <c r="W23" s="21" t="s">
        <v>2364</v>
      </c>
      <c r="X23" s="21" t="s">
        <v>328</v>
      </c>
      <c r="Z23">
        <v>0</v>
      </c>
      <c r="AA23">
        <v>0</v>
      </c>
    </row>
    <row r="24" spans="1:27" x14ac:dyDescent="0.25">
      <c r="A24" s="21" t="s">
        <v>337</v>
      </c>
      <c r="B24" s="21" t="s">
        <v>315</v>
      </c>
      <c r="C24" s="21" t="s">
        <v>198</v>
      </c>
      <c r="D24" s="21" t="s">
        <v>197</v>
      </c>
      <c r="E24" s="21" t="s">
        <v>197</v>
      </c>
      <c r="F24" s="21" t="s">
        <v>479</v>
      </c>
      <c r="G24" s="21" t="s">
        <v>967</v>
      </c>
      <c r="H24" s="21" t="s">
        <v>480</v>
      </c>
      <c r="I24" s="21" t="s">
        <v>481</v>
      </c>
      <c r="J24" s="62">
        <v>43746</v>
      </c>
      <c r="K24" s="62">
        <v>43746</v>
      </c>
      <c r="L24" s="62">
        <v>30651</v>
      </c>
      <c r="M24" s="21" t="s">
        <v>319</v>
      </c>
      <c r="N24" s="21" t="s">
        <v>197</v>
      </c>
      <c r="O24" s="63">
        <v>169.51</v>
      </c>
      <c r="P24" s="21" t="s">
        <v>482</v>
      </c>
      <c r="Q24" s="21" t="s">
        <v>483</v>
      </c>
      <c r="R24" s="21" t="s">
        <v>484</v>
      </c>
      <c r="S24" s="21" t="s">
        <v>323</v>
      </c>
      <c r="T24" s="21" t="s">
        <v>324</v>
      </c>
      <c r="U24" s="21" t="s">
        <v>325</v>
      </c>
      <c r="V24" s="21" t="s">
        <v>326</v>
      </c>
      <c r="W24" s="21" t="s">
        <v>485</v>
      </c>
      <c r="X24" s="21" t="s">
        <v>328</v>
      </c>
      <c r="Z24">
        <v>0</v>
      </c>
      <c r="AA24">
        <v>0</v>
      </c>
    </row>
    <row r="25" spans="1:27" x14ac:dyDescent="0.25">
      <c r="A25" s="21" t="s">
        <v>314</v>
      </c>
      <c r="B25" s="21" t="s">
        <v>315</v>
      </c>
      <c r="C25" s="21" t="s">
        <v>198</v>
      </c>
      <c r="D25" s="21" t="s">
        <v>197</v>
      </c>
      <c r="E25" s="21" t="s">
        <v>197</v>
      </c>
      <c r="F25" s="21" t="s">
        <v>486</v>
      </c>
      <c r="G25" s="21" t="s">
        <v>976</v>
      </c>
      <c r="H25" s="21" t="s">
        <v>487</v>
      </c>
      <c r="I25" s="21" t="s">
        <v>488</v>
      </c>
      <c r="J25" s="62">
        <v>45334</v>
      </c>
      <c r="K25" s="62">
        <v>45334</v>
      </c>
      <c r="L25" s="62">
        <v>34624</v>
      </c>
      <c r="M25" s="21" t="s">
        <v>319</v>
      </c>
      <c r="N25" s="21" t="s">
        <v>197</v>
      </c>
      <c r="O25" s="63">
        <v>180</v>
      </c>
      <c r="P25" s="21" t="s">
        <v>489</v>
      </c>
      <c r="Q25" s="21" t="s">
        <v>321</v>
      </c>
      <c r="R25" s="21" t="s">
        <v>490</v>
      </c>
      <c r="S25" s="21" t="s">
        <v>323</v>
      </c>
      <c r="T25" s="21" t="s">
        <v>324</v>
      </c>
      <c r="U25" s="21" t="s">
        <v>325</v>
      </c>
      <c r="V25" s="21" t="s">
        <v>370</v>
      </c>
      <c r="W25" s="21" t="s">
        <v>491</v>
      </c>
      <c r="X25" s="21" t="s">
        <v>328</v>
      </c>
      <c r="Z25">
        <v>0</v>
      </c>
      <c r="AA25">
        <v>0</v>
      </c>
    </row>
    <row r="26" spans="1:27" x14ac:dyDescent="0.25">
      <c r="A26" s="21" t="s">
        <v>364</v>
      </c>
      <c r="B26" s="21" t="s">
        <v>315</v>
      </c>
      <c r="C26" s="21" t="s">
        <v>198</v>
      </c>
      <c r="D26" s="21" t="s">
        <v>197</v>
      </c>
      <c r="E26" s="21" t="s">
        <v>197</v>
      </c>
      <c r="F26" s="21" t="s">
        <v>492</v>
      </c>
      <c r="G26" s="21" t="s">
        <v>977</v>
      </c>
      <c r="H26" s="21" t="s">
        <v>493</v>
      </c>
      <c r="I26" s="21" t="s">
        <v>494</v>
      </c>
      <c r="J26" s="62">
        <v>44384</v>
      </c>
      <c r="K26" s="62">
        <v>44384</v>
      </c>
      <c r="L26" s="62">
        <v>22416</v>
      </c>
      <c r="M26" s="21" t="s">
        <v>319</v>
      </c>
      <c r="N26" s="21" t="s">
        <v>197</v>
      </c>
      <c r="O26" s="63">
        <v>147.71</v>
      </c>
      <c r="P26" s="21" t="s">
        <v>495</v>
      </c>
      <c r="Q26" s="21" t="s">
        <v>496</v>
      </c>
      <c r="R26" s="21" t="s">
        <v>497</v>
      </c>
      <c r="S26" s="21" t="s">
        <v>498</v>
      </c>
      <c r="T26" s="21" t="s">
        <v>499</v>
      </c>
      <c r="U26" s="21" t="s">
        <v>500</v>
      </c>
      <c r="V26" s="21" t="s">
        <v>326</v>
      </c>
      <c r="W26" s="21" t="s">
        <v>501</v>
      </c>
      <c r="X26" s="21" t="s">
        <v>375</v>
      </c>
      <c r="Z26">
        <v>0</v>
      </c>
      <c r="AA26">
        <v>0</v>
      </c>
    </row>
    <row r="27" spans="1:27" x14ac:dyDescent="0.25">
      <c r="A27" s="21" t="s">
        <v>502</v>
      </c>
      <c r="B27" s="21" t="s">
        <v>315</v>
      </c>
      <c r="C27" s="21" t="s">
        <v>198</v>
      </c>
      <c r="D27" s="21" t="s">
        <v>197</v>
      </c>
      <c r="E27" s="21" t="s">
        <v>197</v>
      </c>
      <c r="F27" s="21" t="s">
        <v>503</v>
      </c>
      <c r="G27" s="21" t="s">
        <v>988</v>
      </c>
      <c r="H27" s="21" t="s">
        <v>504</v>
      </c>
      <c r="I27" s="21" t="s">
        <v>505</v>
      </c>
      <c r="J27" s="62">
        <v>41349</v>
      </c>
      <c r="K27" s="62">
        <v>41349</v>
      </c>
      <c r="L27" s="62">
        <v>30735</v>
      </c>
      <c r="M27" s="21" t="s">
        <v>319</v>
      </c>
      <c r="N27" s="21" t="s">
        <v>197</v>
      </c>
      <c r="O27" s="63">
        <v>177.79</v>
      </c>
      <c r="P27" s="21" t="s">
        <v>506</v>
      </c>
      <c r="Q27" s="21" t="s">
        <v>507</v>
      </c>
      <c r="R27" s="21" t="s">
        <v>508</v>
      </c>
      <c r="S27" s="21" t="s">
        <v>323</v>
      </c>
      <c r="T27" s="21" t="s">
        <v>324</v>
      </c>
      <c r="U27" s="21" t="s">
        <v>325</v>
      </c>
      <c r="V27" s="21" t="s">
        <v>370</v>
      </c>
      <c r="W27" s="21" t="s">
        <v>509</v>
      </c>
      <c r="X27" s="21" t="s">
        <v>328</v>
      </c>
      <c r="Z27">
        <v>0</v>
      </c>
      <c r="AA27">
        <v>0</v>
      </c>
    </row>
    <row r="28" spans="1:27" x14ac:dyDescent="0.25">
      <c r="A28" s="21" t="s">
        <v>510</v>
      </c>
      <c r="B28" s="21" t="s">
        <v>315</v>
      </c>
      <c r="C28" s="21" t="s">
        <v>198</v>
      </c>
      <c r="D28" s="21" t="s">
        <v>197</v>
      </c>
      <c r="E28" s="21" t="s">
        <v>197</v>
      </c>
      <c r="F28" s="21" t="s">
        <v>511</v>
      </c>
      <c r="G28" s="21" t="s">
        <v>989</v>
      </c>
      <c r="H28" s="21" t="s">
        <v>512</v>
      </c>
      <c r="I28" s="21" t="s">
        <v>513</v>
      </c>
      <c r="J28" s="62">
        <v>44522</v>
      </c>
      <c r="K28" s="62">
        <v>44522</v>
      </c>
      <c r="L28" s="62">
        <v>36892</v>
      </c>
      <c r="M28" s="21" t="s">
        <v>319</v>
      </c>
      <c r="N28" s="21" t="s">
        <v>197</v>
      </c>
      <c r="O28" s="63">
        <v>180</v>
      </c>
      <c r="P28" s="21" t="s">
        <v>514</v>
      </c>
      <c r="Q28" s="21" t="s">
        <v>372</v>
      </c>
      <c r="R28" s="21" t="s">
        <v>515</v>
      </c>
      <c r="S28" s="21" t="s">
        <v>396</v>
      </c>
      <c r="T28" s="21" t="s">
        <v>397</v>
      </c>
      <c r="U28" s="21" t="s">
        <v>398</v>
      </c>
      <c r="V28" s="21" t="s">
        <v>326</v>
      </c>
      <c r="W28" s="21" t="s">
        <v>516</v>
      </c>
      <c r="X28" s="21" t="s">
        <v>328</v>
      </c>
      <c r="Z28">
        <v>0</v>
      </c>
      <c r="AA28">
        <v>0</v>
      </c>
    </row>
    <row r="29" spans="1:27" x14ac:dyDescent="0.25">
      <c r="A29" s="21" t="s">
        <v>337</v>
      </c>
      <c r="B29" s="21" t="s">
        <v>315</v>
      </c>
      <c r="C29" s="21" t="s">
        <v>198</v>
      </c>
      <c r="D29" s="21" t="s">
        <v>197</v>
      </c>
      <c r="E29" s="21" t="s">
        <v>197</v>
      </c>
      <c r="F29" s="21" t="s">
        <v>517</v>
      </c>
      <c r="G29" s="21" t="s">
        <v>990</v>
      </c>
      <c r="H29" s="21" t="s">
        <v>518</v>
      </c>
      <c r="I29" s="21" t="s">
        <v>519</v>
      </c>
      <c r="J29" s="62">
        <v>43248</v>
      </c>
      <c r="K29" s="62">
        <v>43248</v>
      </c>
      <c r="L29" s="62">
        <v>33026</v>
      </c>
      <c r="M29" s="21" t="s">
        <v>341</v>
      </c>
      <c r="N29" s="21" t="s">
        <v>197</v>
      </c>
      <c r="O29" s="63">
        <v>165.48</v>
      </c>
      <c r="P29" s="21" t="s">
        <v>520</v>
      </c>
      <c r="Q29" s="21" t="s">
        <v>521</v>
      </c>
      <c r="R29" s="21" t="s">
        <v>522</v>
      </c>
      <c r="S29" s="21" t="s">
        <v>323</v>
      </c>
      <c r="T29" s="21" t="s">
        <v>324</v>
      </c>
      <c r="U29" s="21" t="s">
        <v>325</v>
      </c>
      <c r="V29" s="21" t="s">
        <v>326</v>
      </c>
      <c r="W29" s="21" t="s">
        <v>523</v>
      </c>
      <c r="X29" s="21" t="s">
        <v>328</v>
      </c>
      <c r="Z29">
        <v>0</v>
      </c>
      <c r="AA29">
        <v>0</v>
      </c>
    </row>
    <row r="30" spans="1:27" x14ac:dyDescent="0.25">
      <c r="A30" s="21" t="s">
        <v>329</v>
      </c>
      <c r="B30" s="21" t="s">
        <v>315</v>
      </c>
      <c r="C30" s="21" t="s">
        <v>198</v>
      </c>
      <c r="D30" s="21" t="s">
        <v>197</v>
      </c>
      <c r="E30" s="21" t="s">
        <v>197</v>
      </c>
      <c r="F30" s="21" t="s">
        <v>524</v>
      </c>
      <c r="G30" s="21" t="s">
        <v>997</v>
      </c>
      <c r="H30" s="21" t="s">
        <v>525</v>
      </c>
      <c r="I30" s="21" t="s">
        <v>526</v>
      </c>
      <c r="J30" s="62">
        <v>46065</v>
      </c>
      <c r="K30" s="62">
        <v>46065</v>
      </c>
      <c r="L30" s="62">
        <v>27030</v>
      </c>
      <c r="M30" s="21" t="s">
        <v>341</v>
      </c>
      <c r="N30" s="21" t="s">
        <v>197</v>
      </c>
      <c r="O30" s="63">
        <v>173.56</v>
      </c>
      <c r="P30" s="21" t="s">
        <v>527</v>
      </c>
      <c r="Q30" s="21" t="s">
        <v>528</v>
      </c>
      <c r="R30" s="21" t="s">
        <v>529</v>
      </c>
      <c r="S30" s="21" t="s">
        <v>323</v>
      </c>
      <c r="T30" s="21" t="s">
        <v>324</v>
      </c>
      <c r="U30" s="21" t="s">
        <v>325</v>
      </c>
      <c r="V30" s="21" t="s">
        <v>355</v>
      </c>
      <c r="W30" s="21" t="s">
        <v>530</v>
      </c>
      <c r="X30" s="21" t="s">
        <v>328</v>
      </c>
      <c r="Z30">
        <v>0</v>
      </c>
      <c r="AA30">
        <v>0</v>
      </c>
    </row>
    <row r="31" spans="1:27" x14ac:dyDescent="0.25">
      <c r="A31" s="21" t="s">
        <v>314</v>
      </c>
      <c r="B31" s="21" t="s">
        <v>315</v>
      </c>
      <c r="C31" s="21" t="s">
        <v>198</v>
      </c>
      <c r="D31" s="21" t="s">
        <v>197</v>
      </c>
      <c r="E31" s="21" t="s">
        <v>197</v>
      </c>
      <c r="F31" s="21" t="s">
        <v>532</v>
      </c>
      <c r="G31" s="21" t="s">
        <v>998</v>
      </c>
      <c r="H31" s="21" t="s">
        <v>533</v>
      </c>
      <c r="I31" s="21" t="s">
        <v>534</v>
      </c>
      <c r="J31" s="62">
        <v>43906</v>
      </c>
      <c r="K31" s="62">
        <v>43906</v>
      </c>
      <c r="L31" s="62">
        <v>31470</v>
      </c>
      <c r="M31" s="21" t="s">
        <v>319</v>
      </c>
      <c r="N31" s="21" t="s">
        <v>197</v>
      </c>
      <c r="O31" s="63">
        <v>208.84</v>
      </c>
      <c r="P31" s="21" t="s">
        <v>535</v>
      </c>
      <c r="Q31" s="21" t="s">
        <v>536</v>
      </c>
      <c r="R31" s="21" t="s">
        <v>537</v>
      </c>
      <c r="S31" s="21" t="s">
        <v>323</v>
      </c>
      <c r="T31" s="21" t="s">
        <v>324</v>
      </c>
      <c r="U31" s="21" t="s">
        <v>325</v>
      </c>
      <c r="V31" s="21" t="s">
        <v>326</v>
      </c>
      <c r="W31" s="21" t="s">
        <v>538</v>
      </c>
      <c r="X31" s="21" t="s">
        <v>328</v>
      </c>
      <c r="Z31">
        <v>0</v>
      </c>
      <c r="AA31">
        <v>0</v>
      </c>
    </row>
    <row r="32" spans="1:27" x14ac:dyDescent="0.25">
      <c r="A32" s="21" t="s">
        <v>337</v>
      </c>
      <c r="B32" s="21" t="s">
        <v>315</v>
      </c>
      <c r="C32" s="21" t="s">
        <v>198</v>
      </c>
      <c r="D32" s="21" t="s">
        <v>197</v>
      </c>
      <c r="E32" s="21" t="s">
        <v>197</v>
      </c>
      <c r="F32" s="21" t="s">
        <v>539</v>
      </c>
      <c r="G32" s="21" t="s">
        <v>999</v>
      </c>
      <c r="H32" s="21" t="s">
        <v>533</v>
      </c>
      <c r="I32" s="21" t="s">
        <v>540</v>
      </c>
      <c r="J32" s="62">
        <v>44994</v>
      </c>
      <c r="K32" s="62">
        <v>44994</v>
      </c>
      <c r="L32" s="62">
        <v>29019</v>
      </c>
      <c r="M32" s="21" t="s">
        <v>319</v>
      </c>
      <c r="N32" s="21" t="s">
        <v>197</v>
      </c>
      <c r="O32" s="63">
        <v>173.56</v>
      </c>
      <c r="P32" s="21" t="s">
        <v>541</v>
      </c>
      <c r="Q32" s="21" t="s">
        <v>493</v>
      </c>
      <c r="R32" s="21" t="s">
        <v>542</v>
      </c>
      <c r="S32" s="21" t="s">
        <v>323</v>
      </c>
      <c r="T32" s="21" t="s">
        <v>324</v>
      </c>
      <c r="U32" s="21" t="s">
        <v>325</v>
      </c>
      <c r="V32" s="21" t="s">
        <v>370</v>
      </c>
      <c r="W32" s="21" t="s">
        <v>543</v>
      </c>
      <c r="X32" s="21" t="s">
        <v>375</v>
      </c>
      <c r="Z32">
        <v>0</v>
      </c>
      <c r="AA32">
        <v>0</v>
      </c>
    </row>
    <row r="33" spans="1:27" x14ac:dyDescent="0.25">
      <c r="A33" s="21" t="s">
        <v>337</v>
      </c>
      <c r="B33" s="21" t="s">
        <v>315</v>
      </c>
      <c r="C33" s="21" t="s">
        <v>198</v>
      </c>
      <c r="D33" s="21" t="s">
        <v>197</v>
      </c>
      <c r="E33" s="21" t="s">
        <v>197</v>
      </c>
      <c r="F33" s="21" t="s">
        <v>544</v>
      </c>
      <c r="G33" s="21" t="s">
        <v>1007</v>
      </c>
      <c r="H33" s="21" t="s">
        <v>533</v>
      </c>
      <c r="I33" s="21" t="s">
        <v>545</v>
      </c>
      <c r="J33" s="62">
        <v>45089</v>
      </c>
      <c r="K33" s="62">
        <v>45089</v>
      </c>
      <c r="L33" s="62">
        <v>28469</v>
      </c>
      <c r="M33" s="21" t="s">
        <v>319</v>
      </c>
      <c r="N33" s="21" t="s">
        <v>197</v>
      </c>
      <c r="O33" s="63">
        <v>159.03</v>
      </c>
      <c r="P33" s="21" t="s">
        <v>546</v>
      </c>
      <c r="Q33" s="21" t="s">
        <v>547</v>
      </c>
      <c r="R33" s="21" t="s">
        <v>548</v>
      </c>
      <c r="S33" s="21" t="s">
        <v>549</v>
      </c>
      <c r="T33" s="21" t="s">
        <v>550</v>
      </c>
      <c r="U33" s="21" t="s">
        <v>551</v>
      </c>
      <c r="V33" s="21" t="s">
        <v>355</v>
      </c>
      <c r="W33" s="21" t="s">
        <v>552</v>
      </c>
      <c r="X33" s="21" t="s">
        <v>375</v>
      </c>
      <c r="Z33">
        <v>0</v>
      </c>
      <c r="AA33">
        <v>0</v>
      </c>
    </row>
    <row r="34" spans="1:27" x14ac:dyDescent="0.25">
      <c r="A34" s="21" t="s">
        <v>329</v>
      </c>
      <c r="B34" s="21" t="s">
        <v>315</v>
      </c>
      <c r="C34" s="21" t="s">
        <v>198</v>
      </c>
      <c r="D34" s="21" t="s">
        <v>197</v>
      </c>
      <c r="E34" s="21" t="s">
        <v>197</v>
      </c>
      <c r="F34" s="21" t="s">
        <v>554</v>
      </c>
      <c r="G34" s="21" t="s">
        <v>1024</v>
      </c>
      <c r="H34" s="21" t="s">
        <v>555</v>
      </c>
      <c r="I34" s="21" t="s">
        <v>556</v>
      </c>
      <c r="J34" s="62">
        <v>45964</v>
      </c>
      <c r="K34" s="62">
        <v>45964</v>
      </c>
      <c r="L34" s="62">
        <v>33176</v>
      </c>
      <c r="M34" s="21" t="s">
        <v>319</v>
      </c>
      <c r="N34" s="21" t="s">
        <v>197</v>
      </c>
      <c r="O34" s="63">
        <v>180.63</v>
      </c>
      <c r="P34" s="21" t="s">
        <v>557</v>
      </c>
      <c r="Q34" s="21" t="s">
        <v>558</v>
      </c>
      <c r="R34" s="21" t="s">
        <v>559</v>
      </c>
      <c r="S34" s="21" t="s">
        <v>323</v>
      </c>
      <c r="T34" s="21" t="s">
        <v>324</v>
      </c>
      <c r="U34" s="21" t="s">
        <v>325</v>
      </c>
      <c r="V34" s="21" t="s">
        <v>355</v>
      </c>
      <c r="W34" s="21" t="s">
        <v>560</v>
      </c>
      <c r="X34" s="21" t="s">
        <v>328</v>
      </c>
      <c r="Z34">
        <v>0</v>
      </c>
      <c r="AA34">
        <v>0</v>
      </c>
    </row>
    <row r="35" spans="1:27" x14ac:dyDescent="0.25">
      <c r="A35" s="21" t="s">
        <v>329</v>
      </c>
      <c r="B35" s="21" t="s">
        <v>315</v>
      </c>
      <c r="C35" s="21" t="s">
        <v>198</v>
      </c>
      <c r="D35" s="21" t="s">
        <v>197</v>
      </c>
      <c r="E35" s="21" t="s">
        <v>197</v>
      </c>
      <c r="F35" s="21" t="s">
        <v>561</v>
      </c>
      <c r="G35" s="21" t="s">
        <v>1025</v>
      </c>
      <c r="H35" s="21" t="s">
        <v>562</v>
      </c>
      <c r="I35" s="21" t="s">
        <v>563</v>
      </c>
      <c r="J35" s="62">
        <v>46064</v>
      </c>
      <c r="K35" s="62">
        <v>46064</v>
      </c>
      <c r="L35" s="62">
        <v>39469</v>
      </c>
      <c r="M35" s="21" t="s">
        <v>319</v>
      </c>
      <c r="N35" s="21" t="s">
        <v>197</v>
      </c>
      <c r="O35" s="63">
        <v>137.78</v>
      </c>
      <c r="P35" s="21" t="s">
        <v>478</v>
      </c>
      <c r="Q35" s="21" t="s">
        <v>564</v>
      </c>
      <c r="R35" s="21" t="s">
        <v>565</v>
      </c>
      <c r="S35" s="21" t="s">
        <v>323</v>
      </c>
      <c r="T35" s="21" t="s">
        <v>324</v>
      </c>
      <c r="U35" s="21" t="s">
        <v>325</v>
      </c>
      <c r="V35" s="21" t="s">
        <v>370</v>
      </c>
      <c r="W35" s="21" t="s">
        <v>566</v>
      </c>
      <c r="X35" s="21" t="s">
        <v>328</v>
      </c>
      <c r="Z35">
        <v>0</v>
      </c>
      <c r="AA35">
        <v>0</v>
      </c>
    </row>
    <row r="36" spans="1:27" x14ac:dyDescent="0.25">
      <c r="A36" s="21" t="s">
        <v>364</v>
      </c>
      <c r="B36" s="21" t="s">
        <v>315</v>
      </c>
      <c r="C36" s="21" t="s">
        <v>198</v>
      </c>
      <c r="D36" s="21" t="s">
        <v>197</v>
      </c>
      <c r="E36" s="21" t="s">
        <v>197</v>
      </c>
      <c r="F36" s="21" t="s">
        <v>2320</v>
      </c>
      <c r="G36" s="21" t="s">
        <v>2321</v>
      </c>
      <c r="H36" s="21" t="s">
        <v>2322</v>
      </c>
      <c r="I36" s="21" t="s">
        <v>2323</v>
      </c>
      <c r="J36" s="62">
        <v>46139</v>
      </c>
      <c r="K36" s="62">
        <v>46139</v>
      </c>
      <c r="L36" s="62">
        <v>29321</v>
      </c>
      <c r="M36" s="21" t="s">
        <v>341</v>
      </c>
      <c r="N36" s="21" t="s">
        <v>197</v>
      </c>
      <c r="O36" s="63">
        <v>136.66999999999999</v>
      </c>
      <c r="P36" s="21" t="s">
        <v>2324</v>
      </c>
      <c r="Q36" s="21" t="s">
        <v>881</v>
      </c>
      <c r="R36" s="21" t="s">
        <v>2325</v>
      </c>
      <c r="S36" s="21" t="s">
        <v>406</v>
      </c>
      <c r="T36" s="21" t="s">
        <v>407</v>
      </c>
      <c r="U36" s="21" t="s">
        <v>430</v>
      </c>
      <c r="V36" s="21" t="s">
        <v>326</v>
      </c>
      <c r="W36" s="21" t="s">
        <v>2326</v>
      </c>
      <c r="X36" s="21" t="s">
        <v>328</v>
      </c>
      <c r="Z36">
        <v>0</v>
      </c>
      <c r="AA36">
        <v>0</v>
      </c>
    </row>
    <row r="37" spans="1:27" x14ac:dyDescent="0.25">
      <c r="A37" s="21" t="s">
        <v>337</v>
      </c>
      <c r="B37" s="21" t="s">
        <v>315</v>
      </c>
      <c r="C37" s="21" t="s">
        <v>198</v>
      </c>
      <c r="D37" s="21" t="s">
        <v>197</v>
      </c>
      <c r="E37" s="21" t="s">
        <v>197</v>
      </c>
      <c r="F37" s="21" t="s">
        <v>567</v>
      </c>
      <c r="G37" s="21" t="s">
        <v>1035</v>
      </c>
      <c r="H37" s="21" t="s">
        <v>568</v>
      </c>
      <c r="I37" s="21" t="s">
        <v>569</v>
      </c>
      <c r="J37" s="62">
        <v>44743</v>
      </c>
      <c r="K37" s="62">
        <v>44743</v>
      </c>
      <c r="L37" s="62">
        <v>32885</v>
      </c>
      <c r="M37" s="21" t="s">
        <v>319</v>
      </c>
      <c r="N37" s="21" t="s">
        <v>197</v>
      </c>
      <c r="O37" s="63">
        <v>200</v>
      </c>
      <c r="P37" s="21" t="s">
        <v>478</v>
      </c>
      <c r="Q37" s="21" t="s">
        <v>570</v>
      </c>
      <c r="R37" s="21" t="s">
        <v>571</v>
      </c>
      <c r="S37" s="21" t="s">
        <v>323</v>
      </c>
      <c r="T37" s="21" t="s">
        <v>324</v>
      </c>
      <c r="U37" s="21" t="s">
        <v>325</v>
      </c>
      <c r="V37" s="21" t="s">
        <v>370</v>
      </c>
      <c r="W37" s="21" t="s">
        <v>572</v>
      </c>
      <c r="X37" s="21" t="s">
        <v>328</v>
      </c>
      <c r="Z37">
        <v>0</v>
      </c>
      <c r="AA37">
        <v>0</v>
      </c>
    </row>
    <row r="38" spans="1:27" x14ac:dyDescent="0.25">
      <c r="A38" s="21" t="s">
        <v>364</v>
      </c>
      <c r="B38" s="21" t="s">
        <v>315</v>
      </c>
      <c r="C38" s="21" t="s">
        <v>198</v>
      </c>
      <c r="D38" s="21" t="s">
        <v>197</v>
      </c>
      <c r="E38" s="21" t="s">
        <v>197</v>
      </c>
      <c r="F38" s="21" t="s">
        <v>2314</v>
      </c>
      <c r="G38" s="21" t="s">
        <v>2315</v>
      </c>
      <c r="H38" s="21" t="s">
        <v>2316</v>
      </c>
      <c r="I38" s="21" t="s">
        <v>2317</v>
      </c>
      <c r="J38" s="62">
        <v>46139</v>
      </c>
      <c r="K38" s="62">
        <v>46139</v>
      </c>
      <c r="L38" s="62">
        <v>31034</v>
      </c>
      <c r="M38" s="21" t="s">
        <v>319</v>
      </c>
      <c r="N38" s="21" t="s">
        <v>197</v>
      </c>
      <c r="O38" s="63">
        <v>193.34</v>
      </c>
      <c r="P38" s="21" t="s">
        <v>708</v>
      </c>
      <c r="Q38" s="21" t="s">
        <v>1950</v>
      </c>
      <c r="R38" s="21" t="s">
        <v>2318</v>
      </c>
      <c r="S38" s="21" t="s">
        <v>323</v>
      </c>
      <c r="T38" s="21" t="s">
        <v>324</v>
      </c>
      <c r="U38" s="21" t="s">
        <v>325</v>
      </c>
      <c r="V38" s="21" t="s">
        <v>326</v>
      </c>
      <c r="W38" s="21" t="s">
        <v>2319</v>
      </c>
      <c r="X38" s="21" t="s">
        <v>328</v>
      </c>
      <c r="Z38">
        <v>0</v>
      </c>
      <c r="AA38">
        <v>0</v>
      </c>
    </row>
    <row r="39" spans="1:27" x14ac:dyDescent="0.25">
      <c r="A39" s="21" t="s">
        <v>337</v>
      </c>
      <c r="B39" s="21" t="s">
        <v>315</v>
      </c>
      <c r="C39" s="21" t="s">
        <v>198</v>
      </c>
      <c r="D39" s="21" t="s">
        <v>197</v>
      </c>
      <c r="E39" s="21" t="s">
        <v>197</v>
      </c>
      <c r="F39" s="21" t="s">
        <v>573</v>
      </c>
      <c r="G39" s="21" t="s">
        <v>1058</v>
      </c>
      <c r="H39" s="21" t="s">
        <v>574</v>
      </c>
      <c r="I39" s="21" t="s">
        <v>575</v>
      </c>
      <c r="J39" s="62">
        <v>45964</v>
      </c>
      <c r="K39" s="62">
        <v>45964</v>
      </c>
      <c r="L39" s="62">
        <v>29135</v>
      </c>
      <c r="M39" s="21" t="s">
        <v>341</v>
      </c>
      <c r="N39" s="21" t="s">
        <v>197</v>
      </c>
      <c r="O39" s="63">
        <v>137.44999999999999</v>
      </c>
      <c r="P39" s="21" t="s">
        <v>333</v>
      </c>
      <c r="Q39" s="21" t="s">
        <v>576</v>
      </c>
      <c r="R39" s="21" t="s">
        <v>577</v>
      </c>
      <c r="S39" s="21" t="s">
        <v>406</v>
      </c>
      <c r="T39" s="21" t="s">
        <v>407</v>
      </c>
      <c r="U39" s="21" t="s">
        <v>430</v>
      </c>
      <c r="V39" s="21" t="s">
        <v>370</v>
      </c>
      <c r="W39" s="21" t="s">
        <v>578</v>
      </c>
      <c r="X39" s="21" t="s">
        <v>328</v>
      </c>
      <c r="Z39">
        <v>0</v>
      </c>
      <c r="AA39">
        <v>0</v>
      </c>
    </row>
    <row r="40" spans="1:27" x14ac:dyDescent="0.25">
      <c r="A40" s="21" t="s">
        <v>329</v>
      </c>
      <c r="B40" s="21" t="s">
        <v>315</v>
      </c>
      <c r="C40" s="21" t="s">
        <v>198</v>
      </c>
      <c r="D40" s="21" t="s">
        <v>197</v>
      </c>
      <c r="E40" s="21" t="s">
        <v>197</v>
      </c>
      <c r="F40" s="21" t="s">
        <v>579</v>
      </c>
      <c r="G40" s="21" t="s">
        <v>1059</v>
      </c>
      <c r="H40" s="21" t="s">
        <v>580</v>
      </c>
      <c r="I40" s="21" t="s">
        <v>581</v>
      </c>
      <c r="J40" s="62">
        <v>46048</v>
      </c>
      <c r="K40" s="62">
        <v>46048</v>
      </c>
      <c r="L40" s="62">
        <v>29465</v>
      </c>
      <c r="M40" s="21" t="s">
        <v>341</v>
      </c>
      <c r="N40" s="21" t="s">
        <v>197</v>
      </c>
      <c r="O40" s="63">
        <v>197.56</v>
      </c>
      <c r="P40" s="21" t="s">
        <v>582</v>
      </c>
      <c r="Q40" s="21" t="s">
        <v>353</v>
      </c>
      <c r="R40" s="21" t="s">
        <v>583</v>
      </c>
      <c r="S40" s="21" t="s">
        <v>323</v>
      </c>
      <c r="T40" s="21" t="s">
        <v>324</v>
      </c>
      <c r="U40" s="21" t="s">
        <v>325</v>
      </c>
      <c r="V40" s="21" t="s">
        <v>355</v>
      </c>
      <c r="W40" s="21" t="s">
        <v>584</v>
      </c>
      <c r="X40" s="21" t="s">
        <v>328</v>
      </c>
      <c r="Z40">
        <v>0</v>
      </c>
      <c r="AA40">
        <v>0</v>
      </c>
    </row>
    <row r="41" spans="1:27" x14ac:dyDescent="0.25">
      <c r="A41" s="21" t="s">
        <v>329</v>
      </c>
      <c r="B41" s="21" t="s">
        <v>315</v>
      </c>
      <c r="C41" s="21" t="s">
        <v>198</v>
      </c>
      <c r="D41" s="21" t="s">
        <v>197</v>
      </c>
      <c r="E41" s="21" t="s">
        <v>197</v>
      </c>
      <c r="F41" s="21" t="s">
        <v>585</v>
      </c>
      <c r="G41" s="21" t="s">
        <v>1060</v>
      </c>
      <c r="H41" s="21" t="s">
        <v>586</v>
      </c>
      <c r="I41" s="21" t="s">
        <v>587</v>
      </c>
      <c r="J41" s="62">
        <v>45894</v>
      </c>
      <c r="K41" s="62">
        <v>45894</v>
      </c>
      <c r="L41" s="62">
        <v>39226</v>
      </c>
      <c r="M41" s="21" t="s">
        <v>319</v>
      </c>
      <c r="N41" s="21" t="s">
        <v>197</v>
      </c>
      <c r="O41" s="63">
        <v>124.88</v>
      </c>
      <c r="P41" s="21" t="s">
        <v>478</v>
      </c>
      <c r="Q41" s="21" t="s">
        <v>588</v>
      </c>
      <c r="R41" s="21" t="s">
        <v>589</v>
      </c>
      <c r="S41" s="21" t="s">
        <v>406</v>
      </c>
      <c r="T41" s="21" t="s">
        <v>407</v>
      </c>
      <c r="U41" s="21" t="s">
        <v>430</v>
      </c>
      <c r="V41" s="21" t="s">
        <v>326</v>
      </c>
      <c r="W41" s="21" t="s">
        <v>590</v>
      </c>
      <c r="X41" s="21" t="s">
        <v>328</v>
      </c>
      <c r="Z41">
        <v>0</v>
      </c>
      <c r="AA41">
        <v>0</v>
      </c>
    </row>
    <row r="42" spans="1:27" x14ac:dyDescent="0.25">
      <c r="A42" s="21" t="s">
        <v>364</v>
      </c>
      <c r="B42" s="21" t="s">
        <v>315</v>
      </c>
      <c r="C42" s="21" t="s">
        <v>198</v>
      </c>
      <c r="D42" s="21" t="s">
        <v>197</v>
      </c>
      <c r="E42" s="21" t="s">
        <v>197</v>
      </c>
      <c r="F42" s="21" t="s">
        <v>592</v>
      </c>
      <c r="G42" s="21" t="s">
        <v>1061</v>
      </c>
      <c r="H42" s="21" t="s">
        <v>593</v>
      </c>
      <c r="I42" s="21" t="s">
        <v>594</v>
      </c>
      <c r="J42" s="62">
        <v>43458</v>
      </c>
      <c r="K42" s="62">
        <v>43458</v>
      </c>
      <c r="L42" s="62">
        <v>30183</v>
      </c>
      <c r="M42" s="21" t="s">
        <v>341</v>
      </c>
      <c r="N42" s="21" t="s">
        <v>197</v>
      </c>
      <c r="O42" s="63">
        <v>137.30000000000001</v>
      </c>
      <c r="P42" s="21" t="s">
        <v>595</v>
      </c>
      <c r="Q42" s="21" t="s">
        <v>596</v>
      </c>
      <c r="R42" s="21" t="s">
        <v>597</v>
      </c>
      <c r="S42" s="21" t="s">
        <v>406</v>
      </c>
      <c r="T42" s="21" t="s">
        <v>407</v>
      </c>
      <c r="U42" s="21" t="s">
        <v>347</v>
      </c>
      <c r="V42" s="21" t="s">
        <v>326</v>
      </c>
      <c r="W42" s="21" t="s">
        <v>598</v>
      </c>
      <c r="X42" s="21" t="s">
        <v>328</v>
      </c>
      <c r="Z42">
        <v>0</v>
      </c>
      <c r="AA42">
        <v>0</v>
      </c>
    </row>
    <row r="43" spans="1:27" x14ac:dyDescent="0.25">
      <c r="A43" s="21" t="s">
        <v>510</v>
      </c>
      <c r="B43" s="21" t="s">
        <v>315</v>
      </c>
      <c r="C43" s="21" t="s">
        <v>198</v>
      </c>
      <c r="D43" s="21" t="s">
        <v>197</v>
      </c>
      <c r="E43" s="21" t="s">
        <v>197</v>
      </c>
      <c r="F43" s="21" t="s">
        <v>599</v>
      </c>
      <c r="G43" s="21" t="s">
        <v>1064</v>
      </c>
      <c r="H43" s="21" t="s">
        <v>600</v>
      </c>
      <c r="I43" s="21" t="s">
        <v>601</v>
      </c>
      <c r="J43" s="62">
        <v>44881</v>
      </c>
      <c r="K43" s="62">
        <v>44881</v>
      </c>
      <c r="L43" s="62">
        <v>29113</v>
      </c>
      <c r="M43" s="21" t="s">
        <v>319</v>
      </c>
      <c r="N43" s="21" t="s">
        <v>197</v>
      </c>
      <c r="O43" s="63">
        <v>200</v>
      </c>
      <c r="P43" s="21" t="s">
        <v>602</v>
      </c>
      <c r="Q43" s="21" t="s">
        <v>603</v>
      </c>
      <c r="R43" s="21" t="s">
        <v>604</v>
      </c>
      <c r="S43" s="21" t="s">
        <v>323</v>
      </c>
      <c r="T43" s="21" t="s">
        <v>324</v>
      </c>
      <c r="U43" s="21" t="s">
        <v>325</v>
      </c>
      <c r="V43" s="21" t="s">
        <v>355</v>
      </c>
      <c r="W43" s="21" t="s">
        <v>605</v>
      </c>
      <c r="X43" s="21" t="s">
        <v>328</v>
      </c>
      <c r="Z43">
        <v>0</v>
      </c>
      <c r="AA43">
        <v>0</v>
      </c>
    </row>
    <row r="44" spans="1:27" x14ac:dyDescent="0.25">
      <c r="A44" s="21" t="s">
        <v>314</v>
      </c>
      <c r="B44" s="21" t="s">
        <v>315</v>
      </c>
      <c r="C44" s="21" t="s">
        <v>198</v>
      </c>
      <c r="D44" s="21" t="s">
        <v>197</v>
      </c>
      <c r="E44" s="21" t="s">
        <v>197</v>
      </c>
      <c r="F44" s="21" t="s">
        <v>2382</v>
      </c>
      <c r="G44" s="21" t="s">
        <v>2383</v>
      </c>
      <c r="H44" s="21" t="s">
        <v>2110</v>
      </c>
      <c r="I44" s="21" t="s">
        <v>721</v>
      </c>
      <c r="J44" s="62">
        <v>46197</v>
      </c>
      <c r="K44" s="62">
        <v>46197</v>
      </c>
      <c r="L44" s="62">
        <v>38068</v>
      </c>
      <c r="M44" s="21" t="s">
        <v>319</v>
      </c>
      <c r="N44" s="21" t="s">
        <v>197</v>
      </c>
      <c r="O44" s="63">
        <v>186.67</v>
      </c>
      <c r="P44" s="21" t="s">
        <v>489</v>
      </c>
      <c r="Q44" s="21" t="s">
        <v>2384</v>
      </c>
      <c r="R44" s="21" t="s">
        <v>2385</v>
      </c>
      <c r="S44" s="21" t="s">
        <v>323</v>
      </c>
      <c r="T44" s="21" t="s">
        <v>324</v>
      </c>
      <c r="U44" s="21" t="s">
        <v>325</v>
      </c>
      <c r="V44" s="21" t="s">
        <v>326</v>
      </c>
      <c r="W44" s="21" t="s">
        <v>2386</v>
      </c>
      <c r="X44" s="21" t="s">
        <v>328</v>
      </c>
      <c r="Z44">
        <v>0</v>
      </c>
      <c r="AA44">
        <v>0</v>
      </c>
    </row>
    <row r="45" spans="1:27" x14ac:dyDescent="0.25">
      <c r="A45" s="21" t="s">
        <v>337</v>
      </c>
      <c r="B45" s="21" t="s">
        <v>315</v>
      </c>
      <c r="C45" s="21" t="s">
        <v>198</v>
      </c>
      <c r="D45" s="21" t="s">
        <v>197</v>
      </c>
      <c r="E45" s="21" t="s">
        <v>197</v>
      </c>
      <c r="F45" s="21" t="s">
        <v>606</v>
      </c>
      <c r="G45" s="21" t="s">
        <v>1071</v>
      </c>
      <c r="H45" s="21" t="s">
        <v>607</v>
      </c>
      <c r="I45" s="21" t="s">
        <v>608</v>
      </c>
      <c r="J45" s="62">
        <v>46043</v>
      </c>
      <c r="K45" s="62">
        <v>46043</v>
      </c>
      <c r="L45" s="62">
        <v>31662</v>
      </c>
      <c r="M45" s="21" t="s">
        <v>319</v>
      </c>
      <c r="N45" s="21" t="s">
        <v>197</v>
      </c>
      <c r="O45" s="63">
        <v>177.78</v>
      </c>
      <c r="P45" s="21" t="s">
        <v>609</v>
      </c>
      <c r="Q45" s="21" t="s">
        <v>610</v>
      </c>
      <c r="R45" s="21" t="s">
        <v>611</v>
      </c>
      <c r="S45" s="21" t="s">
        <v>323</v>
      </c>
      <c r="T45" s="21" t="s">
        <v>324</v>
      </c>
      <c r="U45" s="21" t="s">
        <v>325</v>
      </c>
      <c r="V45" s="21" t="s">
        <v>355</v>
      </c>
      <c r="W45" s="21" t="s">
        <v>612</v>
      </c>
      <c r="X45" s="21" t="s">
        <v>328</v>
      </c>
      <c r="Z45">
        <v>0</v>
      </c>
      <c r="AA45">
        <v>0</v>
      </c>
    </row>
    <row r="46" spans="1:27" x14ac:dyDescent="0.25">
      <c r="A46" s="21" t="s">
        <v>713</v>
      </c>
      <c r="B46" s="21" t="s">
        <v>315</v>
      </c>
      <c r="C46" s="21" t="s">
        <v>198</v>
      </c>
      <c r="D46" s="21" t="s">
        <v>197</v>
      </c>
      <c r="E46" s="21" t="s">
        <v>197</v>
      </c>
      <c r="F46" s="21" t="s">
        <v>2435</v>
      </c>
      <c r="G46" s="21" t="s">
        <v>1072</v>
      </c>
      <c r="H46" s="21" t="s">
        <v>613</v>
      </c>
      <c r="I46" s="21" t="s">
        <v>614</v>
      </c>
      <c r="J46" s="62">
        <v>46211</v>
      </c>
      <c r="K46" s="62">
        <v>46211</v>
      </c>
      <c r="L46" s="62">
        <v>28161</v>
      </c>
      <c r="M46" s="21" t="s">
        <v>341</v>
      </c>
      <c r="N46" s="21" t="s">
        <v>197</v>
      </c>
      <c r="O46" s="63">
        <v>165.48</v>
      </c>
      <c r="P46" s="21" t="s">
        <v>615</v>
      </c>
      <c r="Q46" s="21" t="s">
        <v>317</v>
      </c>
      <c r="R46" s="21" t="s">
        <v>2436</v>
      </c>
      <c r="S46" s="21" t="s">
        <v>323</v>
      </c>
      <c r="T46" s="21" t="s">
        <v>324</v>
      </c>
      <c r="U46" s="21" t="s">
        <v>325</v>
      </c>
      <c r="V46" s="21" t="s">
        <v>355</v>
      </c>
      <c r="W46" s="21" t="s">
        <v>616</v>
      </c>
      <c r="X46" s="21" t="s">
        <v>375</v>
      </c>
      <c r="Z46">
        <v>0</v>
      </c>
      <c r="AA46">
        <v>0</v>
      </c>
    </row>
    <row r="47" spans="1:27" x14ac:dyDescent="0.25">
      <c r="A47" s="21" t="s">
        <v>337</v>
      </c>
      <c r="B47" s="21" t="s">
        <v>315</v>
      </c>
      <c r="C47" s="21" t="s">
        <v>198</v>
      </c>
      <c r="D47" s="21" t="s">
        <v>197</v>
      </c>
      <c r="E47" s="21" t="s">
        <v>197</v>
      </c>
      <c r="F47" s="21" t="s">
        <v>617</v>
      </c>
      <c r="G47" s="21" t="s">
        <v>1073</v>
      </c>
      <c r="H47" s="21" t="s">
        <v>618</v>
      </c>
      <c r="I47" s="21" t="s">
        <v>619</v>
      </c>
      <c r="J47" s="62">
        <v>44440</v>
      </c>
      <c r="K47" s="62">
        <v>44440</v>
      </c>
      <c r="L47" s="62">
        <v>30621</v>
      </c>
      <c r="M47" s="21" t="s">
        <v>341</v>
      </c>
      <c r="N47" s="21" t="s">
        <v>197</v>
      </c>
      <c r="O47" s="63">
        <v>180</v>
      </c>
      <c r="P47" s="21" t="s">
        <v>620</v>
      </c>
      <c r="Q47" s="21" t="s">
        <v>621</v>
      </c>
      <c r="R47" s="21" t="s">
        <v>622</v>
      </c>
      <c r="S47" s="21" t="s">
        <v>323</v>
      </c>
      <c r="T47" s="21" t="s">
        <v>324</v>
      </c>
      <c r="U47" s="21" t="s">
        <v>325</v>
      </c>
      <c r="V47" s="21" t="s">
        <v>326</v>
      </c>
      <c r="W47" s="21" t="s">
        <v>623</v>
      </c>
      <c r="X47" s="21" t="s">
        <v>328</v>
      </c>
      <c r="Z47">
        <v>0</v>
      </c>
      <c r="AA47">
        <v>0</v>
      </c>
    </row>
    <row r="48" spans="1:27" x14ac:dyDescent="0.25">
      <c r="A48" s="21" t="s">
        <v>314</v>
      </c>
      <c r="B48" s="21" t="s">
        <v>315</v>
      </c>
      <c r="C48" s="21" t="s">
        <v>198</v>
      </c>
      <c r="D48" s="21" t="s">
        <v>197</v>
      </c>
      <c r="E48" s="21" t="s">
        <v>197</v>
      </c>
      <c r="F48" s="21" t="s">
        <v>624</v>
      </c>
      <c r="G48" s="21" t="s">
        <v>1074</v>
      </c>
      <c r="H48" s="21" t="s">
        <v>625</v>
      </c>
      <c r="I48" s="21" t="s">
        <v>626</v>
      </c>
      <c r="J48" s="62">
        <v>45950</v>
      </c>
      <c r="K48" s="62">
        <v>45950</v>
      </c>
      <c r="L48" s="62">
        <v>30950</v>
      </c>
      <c r="M48" s="21" t="s">
        <v>319</v>
      </c>
      <c r="N48" s="21" t="s">
        <v>197</v>
      </c>
      <c r="O48" s="63">
        <v>180.63</v>
      </c>
      <c r="P48" s="21" t="s">
        <v>627</v>
      </c>
      <c r="Q48" s="21" t="s">
        <v>531</v>
      </c>
      <c r="R48" s="21" t="s">
        <v>628</v>
      </c>
      <c r="S48" s="21" t="s">
        <v>323</v>
      </c>
      <c r="T48" s="21" t="s">
        <v>324</v>
      </c>
      <c r="U48" s="21" t="s">
        <v>325</v>
      </c>
      <c r="V48" s="21" t="s">
        <v>355</v>
      </c>
      <c r="W48" s="21" t="s">
        <v>629</v>
      </c>
      <c r="X48" s="21" t="s">
        <v>328</v>
      </c>
      <c r="Z48">
        <v>0</v>
      </c>
      <c r="AA48">
        <v>0</v>
      </c>
    </row>
    <row r="49" spans="1:27" x14ac:dyDescent="0.25">
      <c r="A49" s="21" t="s">
        <v>337</v>
      </c>
      <c r="B49" s="21" t="s">
        <v>315</v>
      </c>
      <c r="C49" s="21" t="s">
        <v>198</v>
      </c>
      <c r="D49" s="21" t="s">
        <v>240</v>
      </c>
      <c r="E49" s="21" t="s">
        <v>197</v>
      </c>
      <c r="F49" s="21" t="s">
        <v>630</v>
      </c>
      <c r="G49" s="21" t="s">
        <v>1075</v>
      </c>
      <c r="H49" s="21" t="s">
        <v>631</v>
      </c>
      <c r="I49" s="21" t="s">
        <v>632</v>
      </c>
      <c r="J49" s="62">
        <v>44473</v>
      </c>
      <c r="K49" s="62">
        <v>44473</v>
      </c>
      <c r="L49" s="62">
        <v>30323</v>
      </c>
      <c r="M49" s="21" t="s">
        <v>319</v>
      </c>
      <c r="N49" s="21" t="s">
        <v>240</v>
      </c>
      <c r="O49" s="63">
        <v>75000</v>
      </c>
      <c r="P49" s="21" t="s">
        <v>633</v>
      </c>
      <c r="Q49" s="21" t="s">
        <v>634</v>
      </c>
      <c r="R49" s="21" t="s">
        <v>635</v>
      </c>
      <c r="S49" s="21" t="s">
        <v>636</v>
      </c>
      <c r="T49" s="21" t="s">
        <v>637</v>
      </c>
      <c r="U49" s="21" t="s">
        <v>638</v>
      </c>
      <c r="V49" s="21" t="s">
        <v>326</v>
      </c>
      <c r="W49" s="21" t="s">
        <v>639</v>
      </c>
      <c r="X49" s="21" t="s">
        <v>328</v>
      </c>
      <c r="Z49">
        <v>0</v>
      </c>
      <c r="AA49">
        <v>0</v>
      </c>
    </row>
    <row r="50" spans="1:27" x14ac:dyDescent="0.25">
      <c r="A50" s="21" t="s">
        <v>364</v>
      </c>
      <c r="B50" s="21" t="s">
        <v>315</v>
      </c>
      <c r="C50" s="21" t="s">
        <v>198</v>
      </c>
      <c r="D50" s="21" t="s">
        <v>197</v>
      </c>
      <c r="E50" s="21" t="s">
        <v>197</v>
      </c>
      <c r="F50" s="21" t="s">
        <v>186</v>
      </c>
      <c r="G50" s="21" t="s">
        <v>1082</v>
      </c>
      <c r="H50" s="21" t="s">
        <v>640</v>
      </c>
      <c r="I50" s="21" t="s">
        <v>641</v>
      </c>
      <c r="J50" s="62">
        <v>41381</v>
      </c>
      <c r="K50" s="62">
        <v>41381</v>
      </c>
      <c r="L50" s="62">
        <v>33008</v>
      </c>
      <c r="M50" s="21" t="s">
        <v>319</v>
      </c>
      <c r="N50" s="21" t="s">
        <v>197</v>
      </c>
      <c r="O50" s="63">
        <v>180.63</v>
      </c>
      <c r="P50" s="21" t="s">
        <v>642</v>
      </c>
      <c r="Q50" s="21" t="s">
        <v>461</v>
      </c>
      <c r="R50" s="21" t="s">
        <v>643</v>
      </c>
      <c r="S50" s="21" t="s">
        <v>644</v>
      </c>
      <c r="T50" s="21" t="s">
        <v>645</v>
      </c>
      <c r="U50" s="21" t="s">
        <v>414</v>
      </c>
      <c r="V50" s="21" t="s">
        <v>370</v>
      </c>
      <c r="W50" s="21" t="s">
        <v>646</v>
      </c>
      <c r="X50" s="21" t="s">
        <v>328</v>
      </c>
      <c r="Z50">
        <v>0</v>
      </c>
      <c r="AA50">
        <v>0</v>
      </c>
    </row>
    <row r="51" spans="1:27" x14ac:dyDescent="0.25">
      <c r="A51" s="21" t="s">
        <v>502</v>
      </c>
      <c r="B51" s="21" t="s">
        <v>315</v>
      </c>
      <c r="C51" s="21" t="s">
        <v>198</v>
      </c>
      <c r="D51" s="21" t="s">
        <v>197</v>
      </c>
      <c r="E51" s="21" t="s">
        <v>197</v>
      </c>
      <c r="F51" s="21" t="s">
        <v>647</v>
      </c>
      <c r="G51" s="21" t="s">
        <v>1090</v>
      </c>
      <c r="H51" s="21" t="s">
        <v>648</v>
      </c>
      <c r="I51" s="21" t="s">
        <v>649</v>
      </c>
      <c r="J51" s="62">
        <v>42800</v>
      </c>
      <c r="K51" s="62">
        <v>42800</v>
      </c>
      <c r="L51" s="62">
        <v>31751</v>
      </c>
      <c r="M51" s="21" t="s">
        <v>341</v>
      </c>
      <c r="N51" s="21" t="s">
        <v>197</v>
      </c>
      <c r="O51" s="63">
        <v>173.56</v>
      </c>
      <c r="P51" s="21" t="s">
        <v>506</v>
      </c>
      <c r="Q51" s="21" t="s">
        <v>441</v>
      </c>
      <c r="R51" s="21" t="s">
        <v>650</v>
      </c>
      <c r="S51" s="21" t="s">
        <v>387</v>
      </c>
      <c r="T51" s="21" t="s">
        <v>388</v>
      </c>
      <c r="U51" s="21" t="s">
        <v>414</v>
      </c>
      <c r="V51" s="21" t="s">
        <v>326</v>
      </c>
      <c r="W51" s="21" t="s">
        <v>651</v>
      </c>
      <c r="X51" s="21" t="s">
        <v>328</v>
      </c>
      <c r="Z51">
        <v>0</v>
      </c>
      <c r="AA51">
        <v>0</v>
      </c>
    </row>
    <row r="52" spans="1:27" x14ac:dyDescent="0.25">
      <c r="A52" s="21" t="s">
        <v>444</v>
      </c>
      <c r="B52" s="21" t="s">
        <v>315</v>
      </c>
      <c r="C52" s="21" t="s">
        <v>198</v>
      </c>
      <c r="D52" s="21" t="s">
        <v>197</v>
      </c>
      <c r="E52" s="21" t="s">
        <v>197</v>
      </c>
      <c r="F52" s="21" t="s">
        <v>653</v>
      </c>
      <c r="G52" s="21" t="s">
        <v>1122</v>
      </c>
      <c r="H52" s="21" t="s">
        <v>654</v>
      </c>
      <c r="I52" s="21" t="s">
        <v>655</v>
      </c>
      <c r="J52" s="62">
        <v>45432</v>
      </c>
      <c r="K52" s="62">
        <v>45432</v>
      </c>
      <c r="L52" s="62">
        <v>34605</v>
      </c>
      <c r="M52" s="21" t="s">
        <v>341</v>
      </c>
      <c r="N52" s="21" t="s">
        <v>197</v>
      </c>
      <c r="O52" s="63">
        <v>188.9</v>
      </c>
      <c r="P52" s="21" t="s">
        <v>656</v>
      </c>
      <c r="Q52" s="21" t="s">
        <v>657</v>
      </c>
      <c r="R52" s="21" t="s">
        <v>658</v>
      </c>
      <c r="S52" s="21" t="s">
        <v>323</v>
      </c>
      <c r="T52" s="21" t="s">
        <v>324</v>
      </c>
      <c r="U52" s="21" t="s">
        <v>325</v>
      </c>
      <c r="V52" s="21" t="s">
        <v>326</v>
      </c>
      <c r="W52" s="21" t="s">
        <v>659</v>
      </c>
      <c r="X52" s="21" t="s">
        <v>328</v>
      </c>
      <c r="Z52">
        <v>0</v>
      </c>
      <c r="AA52">
        <v>0</v>
      </c>
    </row>
    <row r="53" spans="1:27" x14ac:dyDescent="0.25">
      <c r="A53" s="21" t="s">
        <v>329</v>
      </c>
      <c r="B53" s="21" t="s">
        <v>315</v>
      </c>
      <c r="C53" s="21" t="s">
        <v>198</v>
      </c>
      <c r="D53" s="21" t="s">
        <v>198</v>
      </c>
      <c r="E53" s="21" t="s">
        <v>203</v>
      </c>
      <c r="F53" s="21" t="s">
        <v>765</v>
      </c>
      <c r="G53" s="21" t="s">
        <v>766</v>
      </c>
      <c r="H53" s="21" t="s">
        <v>767</v>
      </c>
      <c r="I53" s="21" t="s">
        <v>768</v>
      </c>
      <c r="J53" s="62">
        <v>45294</v>
      </c>
      <c r="K53" s="62">
        <v>45294</v>
      </c>
      <c r="L53" s="62">
        <v>37065</v>
      </c>
      <c r="M53" s="21" t="s">
        <v>319</v>
      </c>
      <c r="N53" s="21" t="s">
        <v>198</v>
      </c>
      <c r="O53" s="63">
        <v>183.46</v>
      </c>
      <c r="P53" s="21" t="s">
        <v>489</v>
      </c>
      <c r="Q53" s="21" t="s">
        <v>366</v>
      </c>
      <c r="R53" s="21" t="s">
        <v>769</v>
      </c>
      <c r="S53" s="21" t="s">
        <v>770</v>
      </c>
      <c r="T53" s="21" t="s">
        <v>771</v>
      </c>
      <c r="U53" s="21" t="s">
        <v>772</v>
      </c>
      <c r="V53" s="21" t="s">
        <v>326</v>
      </c>
      <c r="W53" s="21" t="s">
        <v>773</v>
      </c>
      <c r="X53" s="21" t="s">
        <v>328</v>
      </c>
      <c r="Z53">
        <v>0</v>
      </c>
      <c r="AA53">
        <v>0</v>
      </c>
    </row>
    <row r="54" spans="1:27" ht="30" x14ac:dyDescent="0.25">
      <c r="A54" s="21" t="s">
        <v>329</v>
      </c>
      <c r="B54" s="21" t="s">
        <v>315</v>
      </c>
      <c r="C54" s="21" t="s">
        <v>198</v>
      </c>
      <c r="D54" s="21" t="s">
        <v>198</v>
      </c>
      <c r="E54" s="21" t="s">
        <v>203</v>
      </c>
      <c r="F54" s="21" t="s">
        <v>859</v>
      </c>
      <c r="G54" s="21" t="s">
        <v>860</v>
      </c>
      <c r="H54" s="21" t="s">
        <v>861</v>
      </c>
      <c r="I54" s="21" t="s">
        <v>862</v>
      </c>
      <c r="J54" s="62">
        <v>45292</v>
      </c>
      <c r="K54" s="62">
        <v>45292</v>
      </c>
      <c r="L54" s="62">
        <v>33192</v>
      </c>
      <c r="M54" s="21" t="s">
        <v>319</v>
      </c>
      <c r="N54" s="21" t="s">
        <v>198</v>
      </c>
      <c r="O54" s="63">
        <v>183.46</v>
      </c>
      <c r="P54" s="21" t="s">
        <v>475</v>
      </c>
      <c r="Q54" s="21" t="s">
        <v>496</v>
      </c>
      <c r="R54" s="21" t="s">
        <v>863</v>
      </c>
      <c r="S54" s="21" t="s">
        <v>770</v>
      </c>
      <c r="T54" s="21" t="s">
        <v>771</v>
      </c>
      <c r="U54" s="21" t="s">
        <v>772</v>
      </c>
      <c r="V54" s="21" t="s">
        <v>326</v>
      </c>
      <c r="W54" s="119" t="s">
        <v>864</v>
      </c>
      <c r="X54" s="21" t="s">
        <v>328</v>
      </c>
      <c r="Z54">
        <v>0</v>
      </c>
      <c r="AA54">
        <v>0</v>
      </c>
    </row>
    <row r="55" spans="1:27" x14ac:dyDescent="0.25">
      <c r="A55" s="21" t="s">
        <v>329</v>
      </c>
      <c r="B55" s="21" t="s">
        <v>315</v>
      </c>
      <c r="C55" s="21" t="s">
        <v>198</v>
      </c>
      <c r="D55" s="21" t="s">
        <v>198</v>
      </c>
      <c r="E55" s="21" t="s">
        <v>203</v>
      </c>
      <c r="F55" s="21" t="s">
        <v>1045</v>
      </c>
      <c r="G55" s="21" t="s">
        <v>1046</v>
      </c>
      <c r="H55" s="21" t="s">
        <v>1047</v>
      </c>
      <c r="I55" s="21" t="s">
        <v>1048</v>
      </c>
      <c r="J55" s="62">
        <v>45512</v>
      </c>
      <c r="K55" s="62">
        <v>45512</v>
      </c>
      <c r="L55" s="62">
        <v>29637</v>
      </c>
      <c r="M55" s="21" t="s">
        <v>319</v>
      </c>
      <c r="N55" s="21" t="s">
        <v>198</v>
      </c>
      <c r="O55" s="63">
        <v>183.46</v>
      </c>
      <c r="P55" s="21" t="s">
        <v>786</v>
      </c>
      <c r="Q55" s="21" t="s">
        <v>683</v>
      </c>
      <c r="R55" s="21" t="s">
        <v>1049</v>
      </c>
      <c r="S55" s="21" t="s">
        <v>770</v>
      </c>
      <c r="T55" s="21" t="s">
        <v>771</v>
      </c>
      <c r="U55" s="21" t="s">
        <v>772</v>
      </c>
      <c r="V55" s="21" t="s">
        <v>326</v>
      </c>
      <c r="W55" s="21" t="s">
        <v>1050</v>
      </c>
      <c r="X55" s="21" t="s">
        <v>375</v>
      </c>
      <c r="Z55">
        <v>0</v>
      </c>
      <c r="AA55">
        <v>0</v>
      </c>
    </row>
    <row r="56" spans="1:27" x14ac:dyDescent="0.25">
      <c r="A56" s="21" t="s">
        <v>329</v>
      </c>
      <c r="B56" s="21" t="s">
        <v>315</v>
      </c>
      <c r="C56" s="21" t="s">
        <v>198</v>
      </c>
      <c r="D56" s="21" t="s">
        <v>198</v>
      </c>
      <c r="E56" s="21" t="s">
        <v>203</v>
      </c>
      <c r="F56" s="21" t="s">
        <v>1083</v>
      </c>
      <c r="G56" s="21" t="s">
        <v>1084</v>
      </c>
      <c r="H56" s="21" t="s">
        <v>1085</v>
      </c>
      <c r="I56" s="21" t="s">
        <v>1086</v>
      </c>
      <c r="J56" s="62">
        <v>45292</v>
      </c>
      <c r="K56" s="62">
        <v>45292</v>
      </c>
      <c r="L56" s="62">
        <v>27338</v>
      </c>
      <c r="M56" s="21" t="s">
        <v>319</v>
      </c>
      <c r="N56" s="21" t="s">
        <v>198</v>
      </c>
      <c r="O56" s="63">
        <v>183.46</v>
      </c>
      <c r="P56" s="21" t="s">
        <v>440</v>
      </c>
      <c r="Q56" s="21" t="s">
        <v>1087</v>
      </c>
      <c r="R56" s="21" t="s">
        <v>1088</v>
      </c>
      <c r="S56" s="21" t="s">
        <v>770</v>
      </c>
      <c r="T56" s="21" t="s">
        <v>771</v>
      </c>
      <c r="U56" s="21" t="s">
        <v>772</v>
      </c>
      <c r="V56" s="21" t="s">
        <v>326</v>
      </c>
      <c r="W56" s="21" t="s">
        <v>1089</v>
      </c>
      <c r="X56" s="21" t="s">
        <v>375</v>
      </c>
      <c r="Z56">
        <v>0</v>
      </c>
      <c r="AA56">
        <v>0</v>
      </c>
    </row>
    <row r="57" spans="1:27" x14ac:dyDescent="0.25">
      <c r="A57" s="21" t="s">
        <v>314</v>
      </c>
      <c r="B57" s="21" t="s">
        <v>315</v>
      </c>
      <c r="C57" s="21" t="s">
        <v>198</v>
      </c>
      <c r="D57" s="21" t="s">
        <v>198</v>
      </c>
      <c r="E57" s="21" t="s">
        <v>198</v>
      </c>
      <c r="F57" s="21" t="s">
        <v>755</v>
      </c>
      <c r="G57" s="21" t="s">
        <v>756</v>
      </c>
      <c r="H57" s="21" t="s">
        <v>675</v>
      </c>
      <c r="I57" s="21" t="s">
        <v>757</v>
      </c>
      <c r="J57" s="62">
        <v>44590</v>
      </c>
      <c r="K57" s="62">
        <v>44590</v>
      </c>
      <c r="L57" s="62">
        <v>29521</v>
      </c>
      <c r="M57" s="21" t="s">
        <v>319</v>
      </c>
      <c r="N57" s="21" t="s">
        <v>198</v>
      </c>
      <c r="O57" s="63">
        <v>193.73</v>
      </c>
      <c r="P57" s="21" t="s">
        <v>758</v>
      </c>
      <c r="Q57" s="21" t="s">
        <v>759</v>
      </c>
      <c r="R57" s="21" t="s">
        <v>760</v>
      </c>
      <c r="S57" s="21" t="s">
        <v>761</v>
      </c>
      <c r="T57" s="21" t="s">
        <v>762</v>
      </c>
      <c r="U57" s="21" t="s">
        <v>763</v>
      </c>
      <c r="V57" s="21" t="s">
        <v>326</v>
      </c>
      <c r="W57" s="21" t="s">
        <v>764</v>
      </c>
      <c r="X57" s="21" t="s">
        <v>328</v>
      </c>
      <c r="Z57">
        <v>0</v>
      </c>
      <c r="AA57">
        <v>0</v>
      </c>
    </row>
    <row r="58" spans="1:27" x14ac:dyDescent="0.25">
      <c r="A58" s="21" t="s">
        <v>713</v>
      </c>
      <c r="B58" s="21" t="s">
        <v>315</v>
      </c>
      <c r="C58" s="21" t="s">
        <v>198</v>
      </c>
      <c r="D58" s="21" t="s">
        <v>198</v>
      </c>
      <c r="E58" s="21" t="s">
        <v>198</v>
      </c>
      <c r="F58" s="21" t="s">
        <v>2308</v>
      </c>
      <c r="G58" s="21" t="s">
        <v>2309</v>
      </c>
      <c r="H58" s="21" t="s">
        <v>845</v>
      </c>
      <c r="I58" s="21" t="s">
        <v>677</v>
      </c>
      <c r="J58" s="62">
        <v>46132</v>
      </c>
      <c r="K58" s="62">
        <v>46132</v>
      </c>
      <c r="L58" s="62">
        <v>34669</v>
      </c>
      <c r="M58" s="21" t="s">
        <v>319</v>
      </c>
      <c r="N58" s="21" t="s">
        <v>198</v>
      </c>
      <c r="O58" s="63">
        <v>191.12</v>
      </c>
      <c r="P58" s="21" t="s">
        <v>2310</v>
      </c>
      <c r="Q58" s="21" t="s">
        <v>2311</v>
      </c>
      <c r="R58" s="21" t="s">
        <v>2312</v>
      </c>
      <c r="S58" s="21" t="s">
        <v>950</v>
      </c>
      <c r="T58" s="21" t="s">
        <v>951</v>
      </c>
      <c r="U58" s="21" t="s">
        <v>952</v>
      </c>
      <c r="V58" s="21" t="s">
        <v>326</v>
      </c>
      <c r="W58" s="21" t="s">
        <v>2313</v>
      </c>
      <c r="X58" s="21" t="s">
        <v>328</v>
      </c>
      <c r="Z58">
        <v>0</v>
      </c>
      <c r="AA58">
        <v>0</v>
      </c>
    </row>
    <row r="59" spans="1:27" x14ac:dyDescent="0.25">
      <c r="A59" s="21" t="s">
        <v>314</v>
      </c>
      <c r="B59" s="21" t="s">
        <v>315</v>
      </c>
      <c r="C59" s="21" t="s">
        <v>198</v>
      </c>
      <c r="D59" s="21" t="s">
        <v>198</v>
      </c>
      <c r="E59" s="21" t="s">
        <v>198</v>
      </c>
      <c r="F59" s="21" t="s">
        <v>865</v>
      </c>
      <c r="G59" s="21" t="s">
        <v>866</v>
      </c>
      <c r="H59" s="21" t="s">
        <v>867</v>
      </c>
      <c r="I59" s="21" t="s">
        <v>868</v>
      </c>
      <c r="J59" s="62">
        <v>39513</v>
      </c>
      <c r="K59" s="62">
        <v>42826</v>
      </c>
      <c r="L59" s="62">
        <v>31629</v>
      </c>
      <c r="M59" s="21" t="s">
        <v>319</v>
      </c>
      <c r="N59" s="21" t="s">
        <v>198</v>
      </c>
      <c r="O59" s="63">
        <v>222.23</v>
      </c>
      <c r="P59" s="21" t="s">
        <v>869</v>
      </c>
      <c r="Q59" s="21" t="s">
        <v>870</v>
      </c>
      <c r="R59" s="21" t="s">
        <v>871</v>
      </c>
      <c r="S59" s="21" t="s">
        <v>761</v>
      </c>
      <c r="T59" s="21" t="s">
        <v>762</v>
      </c>
      <c r="U59" s="21" t="s">
        <v>872</v>
      </c>
      <c r="V59" s="21" t="s">
        <v>326</v>
      </c>
      <c r="W59" s="21" t="s">
        <v>873</v>
      </c>
      <c r="X59" s="21" t="s">
        <v>328</v>
      </c>
      <c r="Z59">
        <v>0</v>
      </c>
      <c r="AA59">
        <v>0</v>
      </c>
    </row>
    <row r="60" spans="1:27" x14ac:dyDescent="0.25">
      <c r="A60" s="21" t="s">
        <v>337</v>
      </c>
      <c r="B60" s="21" t="s">
        <v>315</v>
      </c>
      <c r="C60" s="21" t="s">
        <v>198</v>
      </c>
      <c r="D60" s="21" t="s">
        <v>198</v>
      </c>
      <c r="E60" s="21" t="s">
        <v>198</v>
      </c>
      <c r="F60" s="21" t="s">
        <v>945</v>
      </c>
      <c r="G60" s="21" t="s">
        <v>946</v>
      </c>
      <c r="H60" s="21" t="s">
        <v>947</v>
      </c>
      <c r="I60" s="21" t="s">
        <v>619</v>
      </c>
      <c r="J60" s="62">
        <v>44641</v>
      </c>
      <c r="K60" s="62">
        <v>44641</v>
      </c>
      <c r="L60" s="62">
        <v>26698</v>
      </c>
      <c r="M60" s="21" t="s">
        <v>341</v>
      </c>
      <c r="N60" s="21" t="s">
        <v>198</v>
      </c>
      <c r="O60" s="63">
        <v>177.78</v>
      </c>
      <c r="P60" s="21"/>
      <c r="Q60" s="21" t="s">
        <v>948</v>
      </c>
      <c r="R60" s="21" t="s">
        <v>949</v>
      </c>
      <c r="S60" s="21" t="s">
        <v>950</v>
      </c>
      <c r="T60" s="21" t="s">
        <v>951</v>
      </c>
      <c r="U60" s="21" t="s">
        <v>952</v>
      </c>
      <c r="V60" s="21" t="s">
        <v>326</v>
      </c>
      <c r="W60" s="21" t="s">
        <v>953</v>
      </c>
      <c r="X60" s="21" t="s">
        <v>328</v>
      </c>
      <c r="Z60">
        <v>0</v>
      </c>
      <c r="AA60">
        <v>0</v>
      </c>
    </row>
    <row r="61" spans="1:27" x14ac:dyDescent="0.25">
      <c r="A61" s="21" t="s">
        <v>314</v>
      </c>
      <c r="B61" s="21" t="s">
        <v>315</v>
      </c>
      <c r="C61" s="21" t="s">
        <v>198</v>
      </c>
      <c r="D61" s="21" t="s">
        <v>198</v>
      </c>
      <c r="E61" s="21" t="s">
        <v>198</v>
      </c>
      <c r="F61" s="21" t="s">
        <v>991</v>
      </c>
      <c r="G61" s="21" t="s">
        <v>992</v>
      </c>
      <c r="H61" s="21" t="s">
        <v>993</v>
      </c>
      <c r="I61" s="21" t="s">
        <v>513</v>
      </c>
      <c r="J61" s="62">
        <v>44550</v>
      </c>
      <c r="K61" s="62">
        <v>44562</v>
      </c>
      <c r="L61" s="62">
        <v>35491</v>
      </c>
      <c r="M61" s="21" t="s">
        <v>319</v>
      </c>
      <c r="N61" s="21" t="s">
        <v>198</v>
      </c>
      <c r="O61" s="63">
        <v>161.44</v>
      </c>
      <c r="P61" s="21" t="s">
        <v>994</v>
      </c>
      <c r="Q61" s="21" t="s">
        <v>686</v>
      </c>
      <c r="R61" s="21" t="s">
        <v>995</v>
      </c>
      <c r="S61" s="21" t="s">
        <v>406</v>
      </c>
      <c r="T61" s="21" t="s">
        <v>407</v>
      </c>
      <c r="U61" s="21" t="s">
        <v>347</v>
      </c>
      <c r="V61" s="21" t="s">
        <v>326</v>
      </c>
      <c r="W61" s="21" t="s">
        <v>996</v>
      </c>
      <c r="X61" s="21" t="s">
        <v>328</v>
      </c>
      <c r="Z61">
        <v>0</v>
      </c>
      <c r="AA61">
        <v>0</v>
      </c>
    </row>
    <row r="62" spans="1:27" x14ac:dyDescent="0.25">
      <c r="A62" s="21" t="s">
        <v>364</v>
      </c>
      <c r="B62" s="21" t="s">
        <v>315</v>
      </c>
      <c r="C62" s="21" t="s">
        <v>198</v>
      </c>
      <c r="D62" s="21" t="s">
        <v>240</v>
      </c>
      <c r="E62" s="21" t="s">
        <v>198</v>
      </c>
      <c r="F62" s="21" t="s">
        <v>1076</v>
      </c>
      <c r="G62" s="21" t="s">
        <v>1077</v>
      </c>
      <c r="H62" s="21" t="s">
        <v>476</v>
      </c>
      <c r="I62" s="21" t="s">
        <v>1078</v>
      </c>
      <c r="J62" s="62">
        <v>43419</v>
      </c>
      <c r="K62" s="62">
        <v>43419</v>
      </c>
      <c r="L62" s="62">
        <v>25517</v>
      </c>
      <c r="M62" s="21" t="s">
        <v>319</v>
      </c>
      <c r="N62" s="21" t="s">
        <v>240</v>
      </c>
      <c r="O62" s="63">
        <v>65000</v>
      </c>
      <c r="P62" s="21" t="s">
        <v>1040</v>
      </c>
      <c r="Q62" s="21" t="s">
        <v>1079</v>
      </c>
      <c r="R62" s="21"/>
      <c r="S62" s="21" t="s">
        <v>687</v>
      </c>
      <c r="T62" s="21" t="s">
        <v>688</v>
      </c>
      <c r="U62" s="21" t="s">
        <v>1080</v>
      </c>
      <c r="V62" s="21" t="s">
        <v>326</v>
      </c>
      <c r="W62" s="21" t="s">
        <v>1081</v>
      </c>
      <c r="X62" s="21" t="s">
        <v>375</v>
      </c>
      <c r="Z62">
        <v>0</v>
      </c>
      <c r="AA62">
        <v>0</v>
      </c>
    </row>
    <row r="63" spans="1:27" x14ac:dyDescent="0.25">
      <c r="A63" s="21" t="s">
        <v>337</v>
      </c>
      <c r="B63" s="21" t="s">
        <v>315</v>
      </c>
      <c r="C63" s="21" t="s">
        <v>198</v>
      </c>
      <c r="D63" s="21" t="s">
        <v>198</v>
      </c>
      <c r="E63" s="21" t="s">
        <v>198</v>
      </c>
      <c r="F63" s="21" t="s">
        <v>1100</v>
      </c>
      <c r="G63" s="21" t="s">
        <v>1101</v>
      </c>
      <c r="H63" s="21" t="s">
        <v>723</v>
      </c>
      <c r="I63" s="21" t="s">
        <v>1102</v>
      </c>
      <c r="J63" s="62">
        <v>39328</v>
      </c>
      <c r="K63" s="62">
        <v>42826</v>
      </c>
      <c r="L63" s="62">
        <v>30617</v>
      </c>
      <c r="M63" s="21" t="s">
        <v>319</v>
      </c>
      <c r="N63" s="21" t="s">
        <v>198</v>
      </c>
      <c r="O63" s="63">
        <v>222.23</v>
      </c>
      <c r="P63" s="21" t="s">
        <v>1103</v>
      </c>
      <c r="Q63" s="21" t="s">
        <v>1104</v>
      </c>
      <c r="R63" s="21" t="s">
        <v>1105</v>
      </c>
      <c r="S63" s="21" t="s">
        <v>761</v>
      </c>
      <c r="T63" s="21" t="s">
        <v>762</v>
      </c>
      <c r="U63" s="21" t="s">
        <v>1106</v>
      </c>
      <c r="V63" s="21" t="s">
        <v>326</v>
      </c>
      <c r="W63" s="21" t="s">
        <v>1107</v>
      </c>
      <c r="X63" s="21" t="s">
        <v>328</v>
      </c>
      <c r="Z63">
        <v>0</v>
      </c>
      <c r="AA63">
        <v>0</v>
      </c>
    </row>
    <row r="64" spans="1:27" x14ac:dyDescent="0.25">
      <c r="A64" s="21" t="s">
        <v>337</v>
      </c>
      <c r="B64" s="21" t="s">
        <v>315</v>
      </c>
      <c r="C64" s="21" t="s">
        <v>198</v>
      </c>
      <c r="D64" s="21" t="s">
        <v>201</v>
      </c>
      <c r="E64" s="21" t="s">
        <v>201</v>
      </c>
      <c r="F64" s="21" t="s">
        <v>824</v>
      </c>
      <c r="G64" s="21" t="s">
        <v>825</v>
      </c>
      <c r="H64" s="21" t="s">
        <v>372</v>
      </c>
      <c r="I64" s="21" t="s">
        <v>826</v>
      </c>
      <c r="J64" s="62">
        <v>44996</v>
      </c>
      <c r="K64" s="62">
        <v>44996</v>
      </c>
      <c r="L64" s="62">
        <v>28341</v>
      </c>
      <c r="M64" s="21" t="s">
        <v>319</v>
      </c>
      <c r="N64" s="21" t="s">
        <v>201</v>
      </c>
      <c r="O64" s="63">
        <v>153.37</v>
      </c>
      <c r="P64" s="21" t="s">
        <v>827</v>
      </c>
      <c r="Q64" s="21" t="s">
        <v>828</v>
      </c>
      <c r="R64" s="21" t="s">
        <v>829</v>
      </c>
      <c r="S64" s="21" t="s">
        <v>667</v>
      </c>
      <c r="T64" s="21" t="s">
        <v>668</v>
      </c>
      <c r="U64" s="21" t="s">
        <v>669</v>
      </c>
      <c r="V64" s="21" t="s">
        <v>355</v>
      </c>
      <c r="W64" s="21" t="s">
        <v>830</v>
      </c>
      <c r="X64" s="21" t="s">
        <v>375</v>
      </c>
      <c r="Z64">
        <v>0</v>
      </c>
      <c r="AA64">
        <v>0</v>
      </c>
    </row>
    <row r="65" spans="1:27" x14ac:dyDescent="0.25">
      <c r="A65" s="21" t="s">
        <v>337</v>
      </c>
      <c r="B65" s="21" t="s">
        <v>315</v>
      </c>
      <c r="C65" s="21" t="s">
        <v>198</v>
      </c>
      <c r="D65" s="21" t="s">
        <v>201</v>
      </c>
      <c r="E65" s="21" t="s">
        <v>201</v>
      </c>
      <c r="F65" s="21" t="s">
        <v>968</v>
      </c>
      <c r="G65" s="21" t="s">
        <v>969</v>
      </c>
      <c r="H65" s="21" t="s">
        <v>970</v>
      </c>
      <c r="I65" s="21" t="s">
        <v>971</v>
      </c>
      <c r="J65" s="62">
        <v>45050</v>
      </c>
      <c r="K65" s="62">
        <v>45050</v>
      </c>
      <c r="L65" s="62">
        <v>34617</v>
      </c>
      <c r="M65" s="21" t="s">
        <v>319</v>
      </c>
      <c r="N65" s="21" t="s">
        <v>201</v>
      </c>
      <c r="O65" s="63">
        <v>242.15</v>
      </c>
      <c r="P65" s="21" t="s">
        <v>972</v>
      </c>
      <c r="Q65" s="21" t="s">
        <v>973</v>
      </c>
      <c r="R65" s="21" t="s">
        <v>974</v>
      </c>
      <c r="S65" s="21" t="s">
        <v>667</v>
      </c>
      <c r="T65" s="21" t="s">
        <v>668</v>
      </c>
      <c r="U65" s="21" t="s">
        <v>669</v>
      </c>
      <c r="V65" s="21" t="s">
        <v>326</v>
      </c>
      <c r="W65" s="21" t="s">
        <v>975</v>
      </c>
      <c r="X65" s="21" t="s">
        <v>328</v>
      </c>
      <c r="Z65">
        <v>0</v>
      </c>
      <c r="AA65">
        <v>0</v>
      </c>
    </row>
    <row r="66" spans="1:27" x14ac:dyDescent="0.25">
      <c r="A66" s="21" t="s">
        <v>510</v>
      </c>
      <c r="B66" s="21" t="s">
        <v>315</v>
      </c>
      <c r="C66" s="21" t="s">
        <v>198</v>
      </c>
      <c r="D66" s="21" t="s">
        <v>201</v>
      </c>
      <c r="E66" s="21" t="s">
        <v>201</v>
      </c>
      <c r="F66" s="21" t="s">
        <v>978</v>
      </c>
      <c r="G66" s="21" t="s">
        <v>979</v>
      </c>
      <c r="H66" s="21" t="s">
        <v>980</v>
      </c>
      <c r="I66" s="21" t="s">
        <v>981</v>
      </c>
      <c r="J66" s="62">
        <v>45013</v>
      </c>
      <c r="K66" s="62">
        <v>45013</v>
      </c>
      <c r="L66" s="62">
        <v>26969</v>
      </c>
      <c r="M66" s="21" t="s">
        <v>319</v>
      </c>
      <c r="N66" s="21" t="s">
        <v>201</v>
      </c>
      <c r="O66" s="63">
        <v>234.09</v>
      </c>
      <c r="P66" s="21" t="s">
        <v>982</v>
      </c>
      <c r="Q66" s="21" t="s">
        <v>983</v>
      </c>
      <c r="R66" s="21" t="s">
        <v>984</v>
      </c>
      <c r="S66" s="21" t="s">
        <v>985</v>
      </c>
      <c r="T66" s="21" t="s">
        <v>986</v>
      </c>
      <c r="U66" s="21" t="s">
        <v>398</v>
      </c>
      <c r="V66" s="21" t="s">
        <v>326</v>
      </c>
      <c r="W66" s="21" t="s">
        <v>987</v>
      </c>
      <c r="X66" s="21" t="s">
        <v>375</v>
      </c>
      <c r="Z66">
        <v>0</v>
      </c>
      <c r="AA66">
        <v>0</v>
      </c>
    </row>
    <row r="67" spans="1:27" x14ac:dyDescent="0.25">
      <c r="A67" s="21" t="s">
        <v>329</v>
      </c>
      <c r="B67" s="21" t="s">
        <v>315</v>
      </c>
      <c r="C67" s="21" t="s">
        <v>198</v>
      </c>
      <c r="D67" s="21" t="s">
        <v>201</v>
      </c>
      <c r="E67" s="21" t="s">
        <v>201</v>
      </c>
      <c r="F67" s="21" t="s">
        <v>1008</v>
      </c>
      <c r="G67" s="21" t="s">
        <v>1009</v>
      </c>
      <c r="H67" s="21" t="s">
        <v>533</v>
      </c>
      <c r="I67" s="21" t="s">
        <v>1010</v>
      </c>
      <c r="J67" s="62">
        <v>45231</v>
      </c>
      <c r="K67" s="62">
        <v>45231</v>
      </c>
      <c r="L67" s="62">
        <v>37203</v>
      </c>
      <c r="M67" s="21" t="s">
        <v>319</v>
      </c>
      <c r="N67" s="21" t="s">
        <v>201</v>
      </c>
      <c r="O67" s="63">
        <v>169.34</v>
      </c>
      <c r="P67" s="21" t="s">
        <v>1011</v>
      </c>
      <c r="Q67" s="21" t="s">
        <v>1012</v>
      </c>
      <c r="R67" s="21" t="s">
        <v>1013</v>
      </c>
      <c r="S67" s="21" t="s">
        <v>679</v>
      </c>
      <c r="T67" s="21" t="s">
        <v>680</v>
      </c>
      <c r="U67" s="21" t="s">
        <v>1014</v>
      </c>
      <c r="V67" s="21" t="s">
        <v>326</v>
      </c>
      <c r="W67" s="21" t="s">
        <v>1015</v>
      </c>
      <c r="X67" s="21" t="s">
        <v>328</v>
      </c>
      <c r="Z67">
        <v>0</v>
      </c>
      <c r="AA67">
        <v>0</v>
      </c>
    </row>
    <row r="68" spans="1:27" x14ac:dyDescent="0.25">
      <c r="A68" s="21" t="s">
        <v>314</v>
      </c>
      <c r="B68" s="21" t="s">
        <v>315</v>
      </c>
      <c r="C68" s="21" t="s">
        <v>198</v>
      </c>
      <c r="D68" s="21" t="s">
        <v>240</v>
      </c>
      <c r="E68" s="21" t="s">
        <v>201</v>
      </c>
      <c r="F68" s="21" t="s">
        <v>1016</v>
      </c>
      <c r="G68" s="21" t="s">
        <v>1017</v>
      </c>
      <c r="H68" s="21" t="s">
        <v>555</v>
      </c>
      <c r="I68" s="21" t="s">
        <v>1018</v>
      </c>
      <c r="J68" s="62">
        <v>44995</v>
      </c>
      <c r="K68" s="62">
        <v>44995</v>
      </c>
      <c r="L68" s="62">
        <v>25795</v>
      </c>
      <c r="M68" s="21" t="s">
        <v>319</v>
      </c>
      <c r="N68" s="21" t="s">
        <v>240</v>
      </c>
      <c r="O68" s="63">
        <v>66200</v>
      </c>
      <c r="P68" s="21" t="s">
        <v>520</v>
      </c>
      <c r="Q68" s="21" t="s">
        <v>970</v>
      </c>
      <c r="R68" s="21" t="s">
        <v>1019</v>
      </c>
      <c r="S68" s="21" t="s">
        <v>1020</v>
      </c>
      <c r="T68" s="21" t="s">
        <v>1021</v>
      </c>
      <c r="U68" s="21" t="s">
        <v>1022</v>
      </c>
      <c r="V68" s="21" t="s">
        <v>326</v>
      </c>
      <c r="W68" s="21" t="s">
        <v>1023</v>
      </c>
      <c r="X68" s="21" t="s">
        <v>375</v>
      </c>
      <c r="Z68">
        <v>0</v>
      </c>
      <c r="AA68">
        <v>0</v>
      </c>
    </row>
    <row r="69" spans="1:27" x14ac:dyDescent="0.25">
      <c r="A69" s="21" t="s">
        <v>314</v>
      </c>
      <c r="B69" s="21" t="s">
        <v>315</v>
      </c>
      <c r="C69" s="21" t="s">
        <v>198</v>
      </c>
      <c r="D69" s="21" t="s">
        <v>201</v>
      </c>
      <c r="E69" s="21" t="s">
        <v>201</v>
      </c>
      <c r="F69" s="21" t="s">
        <v>1115</v>
      </c>
      <c r="G69" s="21" t="s">
        <v>1116</v>
      </c>
      <c r="H69" s="21" t="s">
        <v>1117</v>
      </c>
      <c r="I69" s="21" t="s">
        <v>426</v>
      </c>
      <c r="J69" s="62">
        <v>45444</v>
      </c>
      <c r="K69" s="62">
        <v>45444</v>
      </c>
      <c r="L69" s="62">
        <v>35994</v>
      </c>
      <c r="M69" s="21" t="s">
        <v>319</v>
      </c>
      <c r="N69" s="21" t="s">
        <v>201</v>
      </c>
      <c r="O69" s="63">
        <v>208.85</v>
      </c>
      <c r="P69" s="21" t="s">
        <v>1063</v>
      </c>
      <c r="Q69" s="21" t="s">
        <v>1118</v>
      </c>
      <c r="R69" s="21" t="s">
        <v>1119</v>
      </c>
      <c r="S69" s="21" t="s">
        <v>679</v>
      </c>
      <c r="T69" s="21" t="s">
        <v>680</v>
      </c>
      <c r="U69" s="21" t="s">
        <v>1120</v>
      </c>
      <c r="V69" s="21" t="s">
        <v>326</v>
      </c>
      <c r="W69" s="21" t="s">
        <v>1121</v>
      </c>
      <c r="X69" s="21" t="s">
        <v>328</v>
      </c>
      <c r="Z69">
        <v>0</v>
      </c>
      <c r="AA69">
        <v>0</v>
      </c>
    </row>
    <row r="70" spans="1:27" x14ac:dyDescent="0.25">
      <c r="A70" s="21" t="s">
        <v>337</v>
      </c>
      <c r="B70" s="21" t="s">
        <v>315</v>
      </c>
      <c r="C70" s="21" t="s">
        <v>198</v>
      </c>
      <c r="D70" s="21" t="s">
        <v>199</v>
      </c>
      <c r="E70" s="21" t="s">
        <v>199</v>
      </c>
      <c r="F70" s="21" t="s">
        <v>775</v>
      </c>
      <c r="G70" s="21" t="s">
        <v>776</v>
      </c>
      <c r="H70" s="21" t="s">
        <v>777</v>
      </c>
      <c r="I70" s="21" t="s">
        <v>778</v>
      </c>
      <c r="J70" s="62">
        <v>43845</v>
      </c>
      <c r="K70" s="62">
        <v>44621</v>
      </c>
      <c r="L70" s="62">
        <v>26999</v>
      </c>
      <c r="M70" s="21" t="s">
        <v>341</v>
      </c>
      <c r="N70" s="21" t="s">
        <v>199</v>
      </c>
      <c r="O70" s="63">
        <v>161.44</v>
      </c>
      <c r="P70" s="21" t="s">
        <v>520</v>
      </c>
      <c r="Q70" s="21" t="s">
        <v>779</v>
      </c>
      <c r="R70" s="21" t="s">
        <v>780</v>
      </c>
      <c r="S70" s="21" t="s">
        <v>396</v>
      </c>
      <c r="T70" s="21" t="s">
        <v>397</v>
      </c>
      <c r="U70" s="21" t="s">
        <v>398</v>
      </c>
      <c r="V70" s="21" t="s">
        <v>326</v>
      </c>
      <c r="W70" s="21" t="s">
        <v>781</v>
      </c>
      <c r="X70" s="21" t="s">
        <v>328</v>
      </c>
      <c r="Z70">
        <v>0</v>
      </c>
      <c r="AA70">
        <v>0</v>
      </c>
    </row>
    <row r="71" spans="1:27" x14ac:dyDescent="0.25">
      <c r="A71" s="21" t="s">
        <v>329</v>
      </c>
      <c r="B71" s="21" t="s">
        <v>315</v>
      </c>
      <c r="C71" s="21" t="s">
        <v>198</v>
      </c>
      <c r="D71" s="21" t="s">
        <v>199</v>
      </c>
      <c r="E71" s="21" t="s">
        <v>199</v>
      </c>
      <c r="F71" s="21" t="s">
        <v>2437</v>
      </c>
      <c r="G71" s="21" t="s">
        <v>2438</v>
      </c>
      <c r="H71" s="21" t="s">
        <v>2439</v>
      </c>
      <c r="I71" s="21" t="s">
        <v>534</v>
      </c>
      <c r="J71" s="62">
        <v>46225</v>
      </c>
      <c r="K71" s="62">
        <v>46225</v>
      </c>
      <c r="L71" s="62">
        <v>27280</v>
      </c>
      <c r="M71" s="21" t="s">
        <v>341</v>
      </c>
      <c r="N71" s="21" t="s">
        <v>199</v>
      </c>
      <c r="O71" s="63">
        <v>133.34</v>
      </c>
      <c r="P71" s="21" t="s">
        <v>2418</v>
      </c>
      <c r="Q71" s="21" t="s">
        <v>1048</v>
      </c>
      <c r="R71" s="21" t="s">
        <v>2440</v>
      </c>
      <c r="S71" s="21" t="s">
        <v>345</v>
      </c>
      <c r="T71" s="21" t="s">
        <v>346</v>
      </c>
      <c r="U71" s="21" t="s">
        <v>422</v>
      </c>
      <c r="V71" s="21" t="s">
        <v>326</v>
      </c>
      <c r="W71" s="21" t="s">
        <v>2441</v>
      </c>
      <c r="X71" s="21" t="s">
        <v>328</v>
      </c>
      <c r="Z71">
        <v>0</v>
      </c>
      <c r="AA71">
        <v>0</v>
      </c>
    </row>
    <row r="72" spans="1:27" x14ac:dyDescent="0.25">
      <c r="A72" s="21" t="s">
        <v>314</v>
      </c>
      <c r="B72" s="21" t="s">
        <v>315</v>
      </c>
      <c r="C72" s="21" t="s">
        <v>198</v>
      </c>
      <c r="D72" s="21" t="s">
        <v>199</v>
      </c>
      <c r="E72" s="21" t="s">
        <v>199</v>
      </c>
      <c r="F72" s="21" t="s">
        <v>783</v>
      </c>
      <c r="G72" s="21" t="s">
        <v>784</v>
      </c>
      <c r="H72" s="21" t="s">
        <v>677</v>
      </c>
      <c r="I72" s="21" t="s">
        <v>785</v>
      </c>
      <c r="J72" s="62">
        <v>45252</v>
      </c>
      <c r="K72" s="62">
        <v>45252</v>
      </c>
      <c r="L72" s="62">
        <v>29540</v>
      </c>
      <c r="M72" s="21" t="s">
        <v>319</v>
      </c>
      <c r="N72" s="21" t="s">
        <v>199</v>
      </c>
      <c r="O72" s="63">
        <v>189.69</v>
      </c>
      <c r="P72" s="21" t="s">
        <v>786</v>
      </c>
      <c r="Q72" s="21" t="s">
        <v>787</v>
      </c>
      <c r="R72" s="21"/>
      <c r="S72" s="21" t="s">
        <v>690</v>
      </c>
      <c r="T72" s="21" t="s">
        <v>691</v>
      </c>
      <c r="U72" s="21" t="s">
        <v>788</v>
      </c>
      <c r="V72" s="21" t="s">
        <v>370</v>
      </c>
      <c r="W72" s="21" t="s">
        <v>789</v>
      </c>
      <c r="X72" s="21" t="s">
        <v>375</v>
      </c>
      <c r="Z72">
        <v>0</v>
      </c>
      <c r="AA72">
        <v>0</v>
      </c>
    </row>
    <row r="73" spans="1:27" x14ac:dyDescent="0.25">
      <c r="A73" s="21" t="s">
        <v>510</v>
      </c>
      <c r="B73" s="21" t="s">
        <v>315</v>
      </c>
      <c r="C73" s="21" t="s">
        <v>198</v>
      </c>
      <c r="D73" s="21" t="s">
        <v>199</v>
      </c>
      <c r="E73" s="21" t="s">
        <v>199</v>
      </c>
      <c r="F73" s="21" t="s">
        <v>791</v>
      </c>
      <c r="G73" s="21" t="s">
        <v>792</v>
      </c>
      <c r="H73" s="21" t="s">
        <v>793</v>
      </c>
      <c r="I73" s="21" t="s">
        <v>794</v>
      </c>
      <c r="J73" s="62">
        <v>44979</v>
      </c>
      <c r="K73" s="62">
        <v>44979</v>
      </c>
      <c r="L73" s="62">
        <v>33317</v>
      </c>
      <c r="M73" s="21" t="s">
        <v>341</v>
      </c>
      <c r="N73" s="21" t="s">
        <v>199</v>
      </c>
      <c r="O73" s="63">
        <v>173.34</v>
      </c>
      <c r="P73" s="21" t="s">
        <v>795</v>
      </c>
      <c r="Q73" s="21" t="s">
        <v>796</v>
      </c>
      <c r="R73" s="21" t="s">
        <v>797</v>
      </c>
      <c r="S73" s="21" t="s">
        <v>396</v>
      </c>
      <c r="T73" s="21" t="s">
        <v>397</v>
      </c>
      <c r="U73" s="21" t="s">
        <v>398</v>
      </c>
      <c r="V73" s="21" t="s">
        <v>355</v>
      </c>
      <c r="W73" s="21" t="s">
        <v>798</v>
      </c>
      <c r="X73" s="21" t="s">
        <v>328</v>
      </c>
      <c r="Z73">
        <v>0</v>
      </c>
      <c r="AA73">
        <v>0</v>
      </c>
    </row>
    <row r="74" spans="1:27" x14ac:dyDescent="0.25">
      <c r="A74" s="21" t="s">
        <v>329</v>
      </c>
      <c r="B74" s="21" t="s">
        <v>315</v>
      </c>
      <c r="C74" s="21" t="s">
        <v>198</v>
      </c>
      <c r="D74" s="21" t="s">
        <v>199</v>
      </c>
      <c r="E74" s="21" t="s">
        <v>199</v>
      </c>
      <c r="F74" s="21" t="s">
        <v>799</v>
      </c>
      <c r="G74" s="21" t="s">
        <v>800</v>
      </c>
      <c r="H74" s="21" t="s">
        <v>793</v>
      </c>
      <c r="I74" s="21" t="s">
        <v>801</v>
      </c>
      <c r="J74" s="62">
        <v>45509</v>
      </c>
      <c r="K74" s="62">
        <v>45509</v>
      </c>
      <c r="L74" s="62">
        <v>29225</v>
      </c>
      <c r="M74" s="21" t="s">
        <v>341</v>
      </c>
      <c r="N74" s="21" t="s">
        <v>199</v>
      </c>
      <c r="O74" s="63">
        <v>149.69</v>
      </c>
      <c r="P74" s="21" t="s">
        <v>802</v>
      </c>
      <c r="Q74" s="21" t="s">
        <v>803</v>
      </c>
      <c r="R74" s="21" t="s">
        <v>804</v>
      </c>
      <c r="S74" s="21" t="s">
        <v>805</v>
      </c>
      <c r="T74" s="21" t="s">
        <v>806</v>
      </c>
      <c r="U74" s="21" t="s">
        <v>807</v>
      </c>
      <c r="V74" s="21" t="s">
        <v>355</v>
      </c>
      <c r="W74" s="21" t="s">
        <v>808</v>
      </c>
      <c r="X74" s="21" t="s">
        <v>328</v>
      </c>
      <c r="Z74">
        <v>0</v>
      </c>
      <c r="AA74">
        <v>0</v>
      </c>
    </row>
    <row r="75" spans="1:27" x14ac:dyDescent="0.25">
      <c r="A75" s="21" t="s">
        <v>329</v>
      </c>
      <c r="B75" s="21" t="s">
        <v>315</v>
      </c>
      <c r="C75" s="21" t="s">
        <v>198</v>
      </c>
      <c r="D75" s="21" t="s">
        <v>199</v>
      </c>
      <c r="E75" s="21" t="s">
        <v>199</v>
      </c>
      <c r="F75" s="21" t="s">
        <v>809</v>
      </c>
      <c r="G75" s="21" t="s">
        <v>810</v>
      </c>
      <c r="H75" s="21" t="s">
        <v>811</v>
      </c>
      <c r="I75" s="21" t="s">
        <v>737</v>
      </c>
      <c r="J75" s="62">
        <v>46064</v>
      </c>
      <c r="K75" s="62">
        <v>46064</v>
      </c>
      <c r="L75" s="62">
        <v>34294</v>
      </c>
      <c r="M75" s="21" t="s">
        <v>319</v>
      </c>
      <c r="N75" s="21" t="s">
        <v>199</v>
      </c>
      <c r="O75" s="63">
        <v>177.78</v>
      </c>
      <c r="P75" s="21" t="s">
        <v>478</v>
      </c>
      <c r="Q75" s="21" t="s">
        <v>317</v>
      </c>
      <c r="R75" s="21" t="s">
        <v>812</v>
      </c>
      <c r="S75" s="21" t="s">
        <v>877</v>
      </c>
      <c r="T75" s="21" t="s">
        <v>878</v>
      </c>
      <c r="U75" s="21" t="s">
        <v>807</v>
      </c>
      <c r="V75" s="21" t="s">
        <v>370</v>
      </c>
      <c r="W75" s="21" t="s">
        <v>813</v>
      </c>
      <c r="X75" s="21" t="s">
        <v>328</v>
      </c>
      <c r="Z75">
        <v>0</v>
      </c>
      <c r="AA75">
        <v>0</v>
      </c>
    </row>
    <row r="76" spans="1:27" x14ac:dyDescent="0.25">
      <c r="A76" s="21" t="s">
        <v>314</v>
      </c>
      <c r="B76" s="21" t="s">
        <v>315</v>
      </c>
      <c r="C76" s="21" t="s">
        <v>198</v>
      </c>
      <c r="D76" s="21" t="s">
        <v>199</v>
      </c>
      <c r="E76" s="21" t="s">
        <v>199</v>
      </c>
      <c r="F76" s="21" t="s">
        <v>817</v>
      </c>
      <c r="G76" s="21" t="s">
        <v>818</v>
      </c>
      <c r="H76" s="21" t="s">
        <v>819</v>
      </c>
      <c r="I76" s="21" t="s">
        <v>820</v>
      </c>
      <c r="J76" s="62">
        <v>44501</v>
      </c>
      <c r="K76" s="62">
        <v>44621</v>
      </c>
      <c r="L76" s="62">
        <v>29848</v>
      </c>
      <c r="M76" s="21" t="s">
        <v>341</v>
      </c>
      <c r="N76" s="21" t="s">
        <v>199</v>
      </c>
      <c r="O76" s="63">
        <v>177.58</v>
      </c>
      <c r="P76" s="21" t="s">
        <v>720</v>
      </c>
      <c r="Q76" s="21" t="s">
        <v>821</v>
      </c>
      <c r="R76" s="21" t="s">
        <v>822</v>
      </c>
      <c r="S76" s="21" t="s">
        <v>396</v>
      </c>
      <c r="T76" s="21" t="s">
        <v>397</v>
      </c>
      <c r="U76" s="21" t="s">
        <v>398</v>
      </c>
      <c r="V76" s="21" t="s">
        <v>326</v>
      </c>
      <c r="W76" s="21" t="s">
        <v>823</v>
      </c>
      <c r="X76" s="21" t="s">
        <v>328</v>
      </c>
      <c r="Z76">
        <v>0</v>
      </c>
      <c r="AA76">
        <v>0</v>
      </c>
    </row>
    <row r="77" spans="1:27" x14ac:dyDescent="0.25">
      <c r="A77" s="21" t="s">
        <v>329</v>
      </c>
      <c r="B77" s="21" t="s">
        <v>315</v>
      </c>
      <c r="C77" s="21" t="s">
        <v>198</v>
      </c>
      <c r="D77" s="21" t="s">
        <v>199</v>
      </c>
      <c r="E77" s="21" t="s">
        <v>199</v>
      </c>
      <c r="F77" s="21" t="s">
        <v>843</v>
      </c>
      <c r="G77" s="21" t="s">
        <v>844</v>
      </c>
      <c r="H77" s="21" t="s">
        <v>845</v>
      </c>
      <c r="I77" s="21" t="s">
        <v>846</v>
      </c>
      <c r="J77" s="62">
        <v>46091</v>
      </c>
      <c r="K77" s="62">
        <v>46091</v>
      </c>
      <c r="L77" s="62">
        <v>30579</v>
      </c>
      <c r="M77" s="21" t="s">
        <v>319</v>
      </c>
      <c r="N77" s="21" t="s">
        <v>199</v>
      </c>
      <c r="O77" s="63">
        <v>186.67</v>
      </c>
      <c r="P77" s="21" t="s">
        <v>847</v>
      </c>
      <c r="Q77" s="21" t="s">
        <v>848</v>
      </c>
      <c r="R77" s="21" t="s">
        <v>849</v>
      </c>
      <c r="S77" s="21" t="s">
        <v>323</v>
      </c>
      <c r="T77" s="21" t="s">
        <v>324</v>
      </c>
      <c r="U77" s="21" t="s">
        <v>325</v>
      </c>
      <c r="V77" s="21" t="s">
        <v>355</v>
      </c>
      <c r="W77" s="21" t="s">
        <v>850</v>
      </c>
      <c r="X77" s="21" t="s">
        <v>328</v>
      </c>
      <c r="Z77">
        <v>0</v>
      </c>
      <c r="AA77">
        <v>0</v>
      </c>
    </row>
    <row r="78" spans="1:27" x14ac:dyDescent="0.25">
      <c r="A78" s="21" t="s">
        <v>314</v>
      </c>
      <c r="B78" s="21" t="s">
        <v>315</v>
      </c>
      <c r="C78" s="21" t="s">
        <v>198</v>
      </c>
      <c r="D78" s="21" t="s">
        <v>199</v>
      </c>
      <c r="E78" s="21" t="s">
        <v>199</v>
      </c>
      <c r="F78" s="21" t="s">
        <v>853</v>
      </c>
      <c r="G78" s="21" t="s">
        <v>854</v>
      </c>
      <c r="H78" s="21" t="s">
        <v>855</v>
      </c>
      <c r="I78" s="21" t="s">
        <v>540</v>
      </c>
      <c r="J78" s="62">
        <v>44995</v>
      </c>
      <c r="K78" s="62">
        <v>44995</v>
      </c>
      <c r="L78" s="62">
        <v>27944</v>
      </c>
      <c r="M78" s="21" t="s">
        <v>319</v>
      </c>
      <c r="N78" s="21" t="s">
        <v>199</v>
      </c>
      <c r="O78" s="63">
        <v>180.63</v>
      </c>
      <c r="P78" s="21" t="s">
        <v>856</v>
      </c>
      <c r="Q78" s="21" t="s">
        <v>321</v>
      </c>
      <c r="R78" s="21" t="s">
        <v>857</v>
      </c>
      <c r="S78" s="21" t="s">
        <v>549</v>
      </c>
      <c r="T78" s="21" t="s">
        <v>550</v>
      </c>
      <c r="U78" s="21" t="s">
        <v>551</v>
      </c>
      <c r="V78" s="21" t="s">
        <v>326</v>
      </c>
      <c r="W78" s="21" t="s">
        <v>858</v>
      </c>
      <c r="X78" s="21" t="s">
        <v>375</v>
      </c>
      <c r="Z78">
        <v>0</v>
      </c>
      <c r="AA78">
        <v>0</v>
      </c>
    </row>
    <row r="79" spans="1:27" x14ac:dyDescent="0.25">
      <c r="A79" s="21" t="s">
        <v>337</v>
      </c>
      <c r="B79" s="21" t="s">
        <v>315</v>
      </c>
      <c r="C79" s="21" t="s">
        <v>198</v>
      </c>
      <c r="D79" s="21" t="s">
        <v>199</v>
      </c>
      <c r="E79" s="21" t="s">
        <v>199</v>
      </c>
      <c r="F79" s="21" t="s">
        <v>2427</v>
      </c>
      <c r="G79" s="21" t="s">
        <v>2428</v>
      </c>
      <c r="H79" s="21" t="s">
        <v>2429</v>
      </c>
      <c r="I79" s="21" t="s">
        <v>2430</v>
      </c>
      <c r="J79" s="62">
        <v>46211</v>
      </c>
      <c r="K79" s="62">
        <v>46211</v>
      </c>
      <c r="L79" s="62">
        <v>26938</v>
      </c>
      <c r="M79" s="21" t="s">
        <v>341</v>
      </c>
      <c r="N79" s="21" t="s">
        <v>199</v>
      </c>
      <c r="O79" s="63">
        <v>155.56</v>
      </c>
      <c r="P79" s="21" t="s">
        <v>1068</v>
      </c>
      <c r="Q79" s="21" t="s">
        <v>2431</v>
      </c>
      <c r="R79" s="21" t="s">
        <v>2432</v>
      </c>
      <c r="S79" s="21" t="s">
        <v>345</v>
      </c>
      <c r="T79" s="21" t="s">
        <v>346</v>
      </c>
      <c r="U79" s="21" t="s">
        <v>2433</v>
      </c>
      <c r="V79" s="21" t="s">
        <v>355</v>
      </c>
      <c r="W79" s="21" t="s">
        <v>2434</v>
      </c>
      <c r="X79" s="21" t="s">
        <v>328</v>
      </c>
      <c r="Z79">
        <v>0</v>
      </c>
      <c r="AA79">
        <v>0</v>
      </c>
    </row>
    <row r="80" spans="1:27" x14ac:dyDescent="0.25">
      <c r="A80" s="21" t="s">
        <v>444</v>
      </c>
      <c r="B80" s="21" t="s">
        <v>315</v>
      </c>
      <c r="C80" s="21" t="s">
        <v>198</v>
      </c>
      <c r="D80" s="21" t="s">
        <v>199</v>
      </c>
      <c r="E80" s="21" t="s">
        <v>199</v>
      </c>
      <c r="F80" s="21" t="s">
        <v>2352</v>
      </c>
      <c r="G80" s="21" t="s">
        <v>2353</v>
      </c>
      <c r="H80" s="21" t="s">
        <v>425</v>
      </c>
      <c r="I80" s="21" t="s">
        <v>2354</v>
      </c>
      <c r="J80" s="62">
        <v>46174</v>
      </c>
      <c r="K80" s="62">
        <v>46174</v>
      </c>
      <c r="L80" s="62">
        <v>29720</v>
      </c>
      <c r="M80" s="21" t="s">
        <v>341</v>
      </c>
      <c r="N80" s="21" t="s">
        <v>199</v>
      </c>
      <c r="O80" s="63">
        <v>173.34</v>
      </c>
      <c r="P80" s="21" t="s">
        <v>697</v>
      </c>
      <c r="Q80" s="21" t="s">
        <v>2233</v>
      </c>
      <c r="R80" s="21" t="s">
        <v>2355</v>
      </c>
      <c r="S80" s="21" t="s">
        <v>396</v>
      </c>
      <c r="T80" s="21" t="s">
        <v>397</v>
      </c>
      <c r="U80" s="21" t="s">
        <v>2356</v>
      </c>
      <c r="V80" s="21" t="s">
        <v>355</v>
      </c>
      <c r="W80" s="21" t="s">
        <v>2357</v>
      </c>
      <c r="X80" s="21" t="s">
        <v>328</v>
      </c>
      <c r="Z80">
        <v>0</v>
      </c>
      <c r="AA80">
        <v>0</v>
      </c>
    </row>
    <row r="81" spans="1:27" x14ac:dyDescent="0.25">
      <c r="A81" s="21" t="s">
        <v>337</v>
      </c>
      <c r="B81" s="21" t="s">
        <v>315</v>
      </c>
      <c r="C81" s="21" t="s">
        <v>198</v>
      </c>
      <c r="D81" s="21" t="s">
        <v>199</v>
      </c>
      <c r="E81" s="21" t="s">
        <v>199</v>
      </c>
      <c r="F81" s="21" t="s">
        <v>2419</v>
      </c>
      <c r="G81" s="21" t="s">
        <v>2420</v>
      </c>
      <c r="H81" s="21" t="s">
        <v>2421</v>
      </c>
      <c r="I81" s="21" t="s">
        <v>2422</v>
      </c>
      <c r="J81" s="62">
        <v>46209</v>
      </c>
      <c r="K81" s="62">
        <v>46209</v>
      </c>
      <c r="L81" s="62">
        <v>31413</v>
      </c>
      <c r="M81" s="21" t="s">
        <v>319</v>
      </c>
      <c r="N81" s="21" t="s">
        <v>199</v>
      </c>
      <c r="O81" s="63">
        <v>168.89</v>
      </c>
      <c r="P81" s="21" t="s">
        <v>694</v>
      </c>
      <c r="Q81" s="21" t="s">
        <v>2423</v>
      </c>
      <c r="R81" s="21" t="s">
        <v>2424</v>
      </c>
      <c r="S81" s="21" t="s">
        <v>690</v>
      </c>
      <c r="T81" s="21" t="s">
        <v>691</v>
      </c>
      <c r="U81" s="21" t="s">
        <v>2425</v>
      </c>
      <c r="V81" s="21" t="s">
        <v>370</v>
      </c>
      <c r="W81" s="21" t="s">
        <v>2426</v>
      </c>
      <c r="X81" s="21" t="s">
        <v>328</v>
      </c>
      <c r="Z81">
        <v>0</v>
      </c>
      <c r="AA81">
        <v>0</v>
      </c>
    </row>
    <row r="82" spans="1:27" x14ac:dyDescent="0.25">
      <c r="A82" s="21" t="s">
        <v>329</v>
      </c>
      <c r="B82" s="21" t="s">
        <v>315</v>
      </c>
      <c r="C82" s="21" t="s">
        <v>198</v>
      </c>
      <c r="D82" s="21" t="s">
        <v>199</v>
      </c>
      <c r="E82" s="21" t="s">
        <v>199</v>
      </c>
      <c r="F82" s="21" t="s">
        <v>883</v>
      </c>
      <c r="G82" s="21" t="s">
        <v>884</v>
      </c>
      <c r="H82" s="21" t="s">
        <v>885</v>
      </c>
      <c r="I82" s="21" t="s">
        <v>886</v>
      </c>
      <c r="J82" s="62">
        <v>46071</v>
      </c>
      <c r="K82" s="62">
        <v>46071</v>
      </c>
      <c r="L82" s="62">
        <v>37593</v>
      </c>
      <c r="M82" s="21" t="s">
        <v>319</v>
      </c>
      <c r="N82" s="21" t="s">
        <v>199</v>
      </c>
      <c r="O82" s="63">
        <v>133.34</v>
      </c>
      <c r="P82" s="21" t="s">
        <v>489</v>
      </c>
      <c r="Q82" s="21" t="s">
        <v>887</v>
      </c>
      <c r="R82" s="21" t="s">
        <v>888</v>
      </c>
      <c r="S82" s="21" t="s">
        <v>877</v>
      </c>
      <c r="T82" s="21" t="s">
        <v>878</v>
      </c>
      <c r="U82" s="21" t="s">
        <v>807</v>
      </c>
      <c r="V82" s="21" t="s">
        <v>326</v>
      </c>
      <c r="W82" s="21" t="s">
        <v>889</v>
      </c>
      <c r="X82" s="21" t="s">
        <v>328</v>
      </c>
      <c r="Z82">
        <v>0</v>
      </c>
      <c r="AA82">
        <v>0</v>
      </c>
    </row>
    <row r="83" spans="1:27" x14ac:dyDescent="0.25">
      <c r="A83" s="21" t="s">
        <v>337</v>
      </c>
      <c r="B83" s="21" t="s">
        <v>315</v>
      </c>
      <c r="C83" s="21" t="s">
        <v>198</v>
      </c>
      <c r="D83" s="21" t="s">
        <v>199</v>
      </c>
      <c r="E83" s="21" t="s">
        <v>199</v>
      </c>
      <c r="F83" s="21" t="s">
        <v>893</v>
      </c>
      <c r="G83" s="21" t="s">
        <v>894</v>
      </c>
      <c r="H83" s="21" t="s">
        <v>895</v>
      </c>
      <c r="I83" s="21" t="s">
        <v>896</v>
      </c>
      <c r="J83" s="62">
        <v>44622</v>
      </c>
      <c r="K83" s="62">
        <v>44622</v>
      </c>
      <c r="L83" s="62">
        <v>25569</v>
      </c>
      <c r="M83" s="21" t="s">
        <v>319</v>
      </c>
      <c r="N83" s="21" t="s">
        <v>199</v>
      </c>
      <c r="O83" s="63">
        <v>163.69</v>
      </c>
      <c r="P83" s="21" t="s">
        <v>897</v>
      </c>
      <c r="Q83" s="21" t="s">
        <v>898</v>
      </c>
      <c r="R83" s="21" t="s">
        <v>899</v>
      </c>
      <c r="S83" s="21" t="s">
        <v>549</v>
      </c>
      <c r="T83" s="21" t="s">
        <v>550</v>
      </c>
      <c r="U83" s="21" t="s">
        <v>551</v>
      </c>
      <c r="V83" s="21" t="s">
        <v>326</v>
      </c>
      <c r="W83" s="21" t="s">
        <v>900</v>
      </c>
      <c r="X83" s="21" t="s">
        <v>375</v>
      </c>
      <c r="Z83">
        <v>0</v>
      </c>
      <c r="AA83">
        <v>0</v>
      </c>
    </row>
    <row r="84" spans="1:27" x14ac:dyDescent="0.25">
      <c r="A84" s="21" t="s">
        <v>329</v>
      </c>
      <c r="B84" s="21" t="s">
        <v>315</v>
      </c>
      <c r="C84" s="21" t="s">
        <v>198</v>
      </c>
      <c r="D84" s="21" t="s">
        <v>199</v>
      </c>
      <c r="E84" s="21" t="s">
        <v>199</v>
      </c>
      <c r="F84" s="21" t="s">
        <v>901</v>
      </c>
      <c r="G84" s="21" t="s">
        <v>902</v>
      </c>
      <c r="H84" s="21" t="s">
        <v>903</v>
      </c>
      <c r="I84" s="21" t="s">
        <v>426</v>
      </c>
      <c r="J84" s="62">
        <v>45985</v>
      </c>
      <c r="K84" s="62">
        <v>45985</v>
      </c>
      <c r="L84" s="62">
        <v>30507</v>
      </c>
      <c r="M84" s="21" t="s">
        <v>341</v>
      </c>
      <c r="N84" s="21" t="s">
        <v>199</v>
      </c>
      <c r="O84" s="63">
        <v>141.12</v>
      </c>
      <c r="P84" s="21" t="s">
        <v>478</v>
      </c>
      <c r="Q84" s="21" t="s">
        <v>699</v>
      </c>
      <c r="R84" s="21" t="s">
        <v>904</v>
      </c>
      <c r="S84" s="21" t="s">
        <v>702</v>
      </c>
      <c r="T84" s="21" t="s">
        <v>703</v>
      </c>
      <c r="U84" s="21" t="s">
        <v>704</v>
      </c>
      <c r="V84" s="21" t="s">
        <v>355</v>
      </c>
      <c r="W84" s="21" t="s">
        <v>905</v>
      </c>
      <c r="X84" s="21" t="s">
        <v>328</v>
      </c>
      <c r="Z84">
        <v>0</v>
      </c>
      <c r="AA84">
        <v>0</v>
      </c>
    </row>
    <row r="85" spans="1:27" x14ac:dyDescent="0.25">
      <c r="A85" s="21" t="s">
        <v>337</v>
      </c>
      <c r="B85" s="21" t="s">
        <v>315</v>
      </c>
      <c r="C85" s="21" t="s">
        <v>198</v>
      </c>
      <c r="D85" s="21" t="s">
        <v>240</v>
      </c>
      <c r="E85" s="21" t="s">
        <v>199</v>
      </c>
      <c r="F85" s="21" t="s">
        <v>906</v>
      </c>
      <c r="G85" s="21" t="s">
        <v>907</v>
      </c>
      <c r="H85" s="21" t="s">
        <v>908</v>
      </c>
      <c r="I85" s="21" t="s">
        <v>909</v>
      </c>
      <c r="J85" s="62">
        <v>45215</v>
      </c>
      <c r="K85" s="62">
        <v>45215</v>
      </c>
      <c r="L85" s="62">
        <v>29504</v>
      </c>
      <c r="M85" s="21" t="s">
        <v>319</v>
      </c>
      <c r="N85" s="21" t="s">
        <v>240</v>
      </c>
      <c r="O85" s="63">
        <v>75000</v>
      </c>
      <c r="P85" s="21" t="s">
        <v>910</v>
      </c>
      <c r="Q85" s="21" t="s">
        <v>461</v>
      </c>
      <c r="R85" s="21"/>
      <c r="S85" s="21" t="s">
        <v>687</v>
      </c>
      <c r="T85" s="21" t="s">
        <v>688</v>
      </c>
      <c r="U85" s="21" t="s">
        <v>911</v>
      </c>
      <c r="V85" s="21" t="s">
        <v>370</v>
      </c>
      <c r="W85" s="21" t="s">
        <v>912</v>
      </c>
      <c r="X85" s="21" t="s">
        <v>375</v>
      </c>
      <c r="Z85">
        <v>0</v>
      </c>
      <c r="AA85">
        <v>0</v>
      </c>
    </row>
    <row r="86" spans="1:27" x14ac:dyDescent="0.25">
      <c r="A86" s="21" t="s">
        <v>314</v>
      </c>
      <c r="B86" s="21" t="s">
        <v>315</v>
      </c>
      <c r="C86" s="21" t="s">
        <v>198</v>
      </c>
      <c r="D86" s="21" t="s">
        <v>199</v>
      </c>
      <c r="E86" s="21" t="s">
        <v>199</v>
      </c>
      <c r="F86" s="21" t="s">
        <v>913</v>
      </c>
      <c r="G86" s="21" t="s">
        <v>914</v>
      </c>
      <c r="H86" s="21" t="s">
        <v>915</v>
      </c>
      <c r="I86" s="21" t="s">
        <v>916</v>
      </c>
      <c r="J86" s="62">
        <v>45964</v>
      </c>
      <c r="K86" s="62">
        <v>45964</v>
      </c>
      <c r="L86" s="62">
        <v>32112</v>
      </c>
      <c r="M86" s="21" t="s">
        <v>341</v>
      </c>
      <c r="N86" s="21" t="s">
        <v>199</v>
      </c>
      <c r="O86" s="63">
        <v>189.69</v>
      </c>
      <c r="P86" s="21" t="s">
        <v>917</v>
      </c>
      <c r="Q86" s="21" t="s">
        <v>918</v>
      </c>
      <c r="R86" s="21" t="s">
        <v>919</v>
      </c>
      <c r="S86" s="21" t="s">
        <v>396</v>
      </c>
      <c r="T86" s="21" t="s">
        <v>397</v>
      </c>
      <c r="U86" s="21" t="s">
        <v>398</v>
      </c>
      <c r="V86" s="21" t="s">
        <v>326</v>
      </c>
      <c r="W86" s="21" t="s">
        <v>920</v>
      </c>
      <c r="X86" s="21" t="s">
        <v>328</v>
      </c>
      <c r="Z86">
        <v>0</v>
      </c>
      <c r="AA86">
        <v>0</v>
      </c>
    </row>
    <row r="87" spans="1:27" x14ac:dyDescent="0.25">
      <c r="A87" s="21" t="s">
        <v>314</v>
      </c>
      <c r="B87" s="21" t="s">
        <v>315</v>
      </c>
      <c r="C87" s="21" t="s">
        <v>198</v>
      </c>
      <c r="D87" s="21" t="s">
        <v>199</v>
      </c>
      <c r="E87" s="21" t="s">
        <v>199</v>
      </c>
      <c r="F87" s="21" t="s">
        <v>922</v>
      </c>
      <c r="G87" s="21" t="s">
        <v>923</v>
      </c>
      <c r="H87" s="21" t="s">
        <v>924</v>
      </c>
      <c r="I87" s="21" t="s">
        <v>925</v>
      </c>
      <c r="J87" s="62">
        <v>43808</v>
      </c>
      <c r="K87" s="62">
        <v>44621</v>
      </c>
      <c r="L87" s="62">
        <v>32509</v>
      </c>
      <c r="M87" s="21" t="s">
        <v>341</v>
      </c>
      <c r="N87" s="21" t="s">
        <v>199</v>
      </c>
      <c r="O87" s="63">
        <v>155.56</v>
      </c>
      <c r="P87" s="21" t="s">
        <v>926</v>
      </c>
      <c r="Q87" s="21" t="s">
        <v>927</v>
      </c>
      <c r="R87" s="21" t="s">
        <v>928</v>
      </c>
      <c r="S87" s="21" t="s">
        <v>396</v>
      </c>
      <c r="T87" s="21" t="s">
        <v>397</v>
      </c>
      <c r="U87" s="21" t="s">
        <v>398</v>
      </c>
      <c r="V87" s="21" t="s">
        <v>326</v>
      </c>
      <c r="W87" s="21" t="s">
        <v>929</v>
      </c>
      <c r="X87" s="21" t="s">
        <v>328</v>
      </c>
      <c r="Z87">
        <v>0</v>
      </c>
      <c r="AA87">
        <v>0</v>
      </c>
    </row>
    <row r="88" spans="1:27" x14ac:dyDescent="0.25">
      <c r="A88" s="21" t="s">
        <v>337</v>
      </c>
      <c r="B88" s="21" t="s">
        <v>315</v>
      </c>
      <c r="C88" s="21" t="s">
        <v>198</v>
      </c>
      <c r="D88" s="21" t="s">
        <v>199</v>
      </c>
      <c r="E88" s="21" t="s">
        <v>199</v>
      </c>
      <c r="F88" s="21" t="s">
        <v>938</v>
      </c>
      <c r="G88" s="21" t="s">
        <v>939</v>
      </c>
      <c r="H88" s="21" t="s">
        <v>940</v>
      </c>
      <c r="I88" s="21" t="s">
        <v>941</v>
      </c>
      <c r="J88" s="62">
        <v>43739</v>
      </c>
      <c r="K88" s="62">
        <v>44621</v>
      </c>
      <c r="L88" s="62">
        <v>28376</v>
      </c>
      <c r="M88" s="21" t="s">
        <v>341</v>
      </c>
      <c r="N88" s="21" t="s">
        <v>199</v>
      </c>
      <c r="O88" s="63">
        <v>152.4</v>
      </c>
      <c r="P88" s="21" t="s">
        <v>942</v>
      </c>
      <c r="Q88" s="21" t="s">
        <v>568</v>
      </c>
      <c r="R88" s="21" t="s">
        <v>943</v>
      </c>
      <c r="S88" s="21" t="s">
        <v>345</v>
      </c>
      <c r="T88" s="21" t="s">
        <v>346</v>
      </c>
      <c r="U88" s="21" t="s">
        <v>422</v>
      </c>
      <c r="V88" s="21" t="s">
        <v>326</v>
      </c>
      <c r="W88" s="21" t="s">
        <v>944</v>
      </c>
      <c r="X88" s="21" t="s">
        <v>328</v>
      </c>
      <c r="Z88">
        <v>0</v>
      </c>
      <c r="AA88">
        <v>0</v>
      </c>
    </row>
    <row r="89" spans="1:27" x14ac:dyDescent="0.25">
      <c r="A89" s="21" t="s">
        <v>329</v>
      </c>
      <c r="B89" s="21" t="s">
        <v>315</v>
      </c>
      <c r="C89" s="21" t="s">
        <v>198</v>
      </c>
      <c r="D89" s="21" t="s">
        <v>199</v>
      </c>
      <c r="E89" s="21" t="s">
        <v>199</v>
      </c>
      <c r="F89" s="21" t="s">
        <v>954</v>
      </c>
      <c r="G89" s="21" t="s">
        <v>955</v>
      </c>
      <c r="H89" s="21" t="s">
        <v>380</v>
      </c>
      <c r="I89" s="21" t="s">
        <v>956</v>
      </c>
      <c r="J89" s="62">
        <v>45973</v>
      </c>
      <c r="K89" s="62">
        <v>45973</v>
      </c>
      <c r="L89" s="62">
        <v>30234</v>
      </c>
      <c r="M89" s="21" t="s">
        <v>319</v>
      </c>
      <c r="N89" s="21" t="s">
        <v>199</v>
      </c>
      <c r="O89" s="63">
        <v>174.98</v>
      </c>
      <c r="P89" s="21" t="s">
        <v>957</v>
      </c>
      <c r="Q89" s="21" t="s">
        <v>958</v>
      </c>
      <c r="R89" s="21"/>
      <c r="S89" s="21" t="s">
        <v>959</v>
      </c>
      <c r="T89" s="21" t="s">
        <v>960</v>
      </c>
      <c r="U89" s="21" t="s">
        <v>551</v>
      </c>
      <c r="V89" s="21" t="s">
        <v>326</v>
      </c>
      <c r="W89" s="21" t="s">
        <v>961</v>
      </c>
      <c r="X89" s="21" t="s">
        <v>375</v>
      </c>
      <c r="Z89">
        <v>0</v>
      </c>
      <c r="AA89">
        <v>0</v>
      </c>
    </row>
    <row r="90" spans="1:27" x14ac:dyDescent="0.25">
      <c r="A90" s="21" t="s">
        <v>337</v>
      </c>
      <c r="B90" s="21" t="s">
        <v>315</v>
      </c>
      <c r="C90" s="21" t="s">
        <v>198</v>
      </c>
      <c r="D90" s="21" t="s">
        <v>199</v>
      </c>
      <c r="E90" s="21" t="s">
        <v>199</v>
      </c>
      <c r="F90" s="21" t="s">
        <v>962</v>
      </c>
      <c r="G90" s="21" t="s">
        <v>963</v>
      </c>
      <c r="H90" s="21" t="s">
        <v>670</v>
      </c>
      <c r="I90" s="21" t="s">
        <v>737</v>
      </c>
      <c r="J90" s="62">
        <v>44900</v>
      </c>
      <c r="K90" s="62">
        <v>44900</v>
      </c>
      <c r="L90" s="62">
        <v>33117</v>
      </c>
      <c r="M90" s="21" t="s">
        <v>319</v>
      </c>
      <c r="N90" s="21" t="s">
        <v>199</v>
      </c>
      <c r="O90" s="63">
        <v>169.51</v>
      </c>
      <c r="P90" s="21" t="s">
        <v>368</v>
      </c>
      <c r="Q90" s="21" t="s">
        <v>358</v>
      </c>
      <c r="R90" s="21" t="s">
        <v>964</v>
      </c>
      <c r="S90" s="21" t="s">
        <v>690</v>
      </c>
      <c r="T90" s="21" t="s">
        <v>691</v>
      </c>
      <c r="U90" s="21" t="s">
        <v>965</v>
      </c>
      <c r="V90" s="21" t="s">
        <v>355</v>
      </c>
      <c r="W90" s="21" t="s">
        <v>966</v>
      </c>
      <c r="X90" s="21" t="s">
        <v>328</v>
      </c>
      <c r="Z90">
        <v>0</v>
      </c>
      <c r="AA90">
        <v>0</v>
      </c>
    </row>
    <row r="91" spans="1:27" x14ac:dyDescent="0.25">
      <c r="A91" s="21" t="s">
        <v>314</v>
      </c>
      <c r="B91" s="21" t="s">
        <v>315</v>
      </c>
      <c r="C91" s="21" t="s">
        <v>198</v>
      </c>
      <c r="D91" s="21" t="s">
        <v>199</v>
      </c>
      <c r="E91" s="21" t="s">
        <v>199</v>
      </c>
      <c r="F91" s="21" t="s">
        <v>1000</v>
      </c>
      <c r="G91" s="21" t="s">
        <v>1001</v>
      </c>
      <c r="H91" s="21" t="s">
        <v>533</v>
      </c>
      <c r="I91" s="21" t="s">
        <v>1002</v>
      </c>
      <c r="J91" s="62">
        <v>45008</v>
      </c>
      <c r="K91" s="62">
        <v>45008</v>
      </c>
      <c r="L91" s="62">
        <v>28345</v>
      </c>
      <c r="M91" s="21" t="s">
        <v>319</v>
      </c>
      <c r="N91" s="21" t="s">
        <v>199</v>
      </c>
      <c r="O91" s="63">
        <v>163.06</v>
      </c>
      <c r="P91" s="21" t="s">
        <v>1003</v>
      </c>
      <c r="Q91" s="21" t="s">
        <v>1004</v>
      </c>
      <c r="R91" s="21" t="s">
        <v>1005</v>
      </c>
      <c r="S91" s="21" t="s">
        <v>690</v>
      </c>
      <c r="T91" s="21" t="s">
        <v>691</v>
      </c>
      <c r="U91" s="21" t="s">
        <v>788</v>
      </c>
      <c r="V91" s="21" t="s">
        <v>355</v>
      </c>
      <c r="W91" s="21" t="s">
        <v>1006</v>
      </c>
      <c r="X91" s="21" t="s">
        <v>375</v>
      </c>
      <c r="Z91">
        <v>0</v>
      </c>
      <c r="AA91">
        <v>0</v>
      </c>
    </row>
    <row r="92" spans="1:27" x14ac:dyDescent="0.25">
      <c r="A92" s="21" t="s">
        <v>337</v>
      </c>
      <c r="B92" s="21" t="s">
        <v>315</v>
      </c>
      <c r="C92" s="21" t="s">
        <v>198</v>
      </c>
      <c r="D92" s="21" t="s">
        <v>199</v>
      </c>
      <c r="E92" s="21" t="s">
        <v>199</v>
      </c>
      <c r="F92" s="21" t="s">
        <v>2365</v>
      </c>
      <c r="G92" s="21" t="s">
        <v>2366</v>
      </c>
      <c r="H92" s="21" t="s">
        <v>533</v>
      </c>
      <c r="I92" s="21" t="s">
        <v>2367</v>
      </c>
      <c r="J92" s="62">
        <v>46195</v>
      </c>
      <c r="K92" s="62">
        <v>46195</v>
      </c>
      <c r="L92" s="62">
        <v>30576</v>
      </c>
      <c r="M92" s="21" t="s">
        <v>319</v>
      </c>
      <c r="N92" s="21" t="s">
        <v>199</v>
      </c>
      <c r="O92" s="63">
        <v>186.67</v>
      </c>
      <c r="P92" s="21" t="s">
        <v>876</v>
      </c>
      <c r="Q92" s="21" t="s">
        <v>2368</v>
      </c>
      <c r="R92" s="21" t="s">
        <v>2369</v>
      </c>
      <c r="S92" s="21" t="s">
        <v>323</v>
      </c>
      <c r="T92" s="21" t="s">
        <v>324</v>
      </c>
      <c r="U92" s="21" t="s">
        <v>325</v>
      </c>
      <c r="V92" s="21" t="s">
        <v>355</v>
      </c>
      <c r="W92" s="21" t="s">
        <v>2370</v>
      </c>
      <c r="X92" s="21" t="s">
        <v>328</v>
      </c>
      <c r="Z92">
        <v>0</v>
      </c>
      <c r="AA92">
        <v>0</v>
      </c>
    </row>
    <row r="93" spans="1:27" x14ac:dyDescent="0.25">
      <c r="A93" s="21" t="s">
        <v>337</v>
      </c>
      <c r="B93" s="21" t="s">
        <v>315</v>
      </c>
      <c r="C93" s="21" t="s">
        <v>198</v>
      </c>
      <c r="D93" s="21" t="s">
        <v>199</v>
      </c>
      <c r="E93" s="21" t="s">
        <v>199</v>
      </c>
      <c r="F93" s="21" t="s">
        <v>2371</v>
      </c>
      <c r="G93" s="21" t="s">
        <v>2372</v>
      </c>
      <c r="H93" s="21" t="s">
        <v>1912</v>
      </c>
      <c r="I93" s="21" t="s">
        <v>2373</v>
      </c>
      <c r="J93" s="62">
        <v>46175</v>
      </c>
      <c r="K93" s="62">
        <v>46175</v>
      </c>
      <c r="L93" s="62">
        <v>31048</v>
      </c>
      <c r="M93" s="21" t="s">
        <v>341</v>
      </c>
      <c r="N93" s="21" t="s">
        <v>199</v>
      </c>
      <c r="O93" s="63">
        <v>160</v>
      </c>
      <c r="P93" s="21" t="s">
        <v>1736</v>
      </c>
      <c r="Q93" s="21" t="s">
        <v>531</v>
      </c>
      <c r="R93" s="21" t="s">
        <v>2374</v>
      </c>
      <c r="S93" s="21" t="s">
        <v>396</v>
      </c>
      <c r="T93" s="21" t="s">
        <v>397</v>
      </c>
      <c r="U93" s="21" t="s">
        <v>398</v>
      </c>
      <c r="V93" s="21" t="s">
        <v>355</v>
      </c>
      <c r="W93" s="21" t="s">
        <v>2375</v>
      </c>
      <c r="X93" s="21" t="s">
        <v>328</v>
      </c>
      <c r="Z93">
        <v>0</v>
      </c>
      <c r="AA93">
        <v>0</v>
      </c>
    </row>
    <row r="94" spans="1:27" x14ac:dyDescent="0.25">
      <c r="A94" s="21" t="s">
        <v>314</v>
      </c>
      <c r="B94" s="21" t="s">
        <v>315</v>
      </c>
      <c r="C94" s="21" t="s">
        <v>198</v>
      </c>
      <c r="D94" s="21" t="s">
        <v>199</v>
      </c>
      <c r="E94" s="21" t="s">
        <v>199</v>
      </c>
      <c r="F94" s="21" t="s">
        <v>1026</v>
      </c>
      <c r="G94" s="21" t="s">
        <v>1027</v>
      </c>
      <c r="H94" s="21" t="s">
        <v>1028</v>
      </c>
      <c r="I94" s="21" t="s">
        <v>1029</v>
      </c>
      <c r="J94" s="62">
        <v>43698</v>
      </c>
      <c r="K94" s="62">
        <v>44378</v>
      </c>
      <c r="L94" s="62">
        <v>31048</v>
      </c>
      <c r="M94" s="21" t="s">
        <v>319</v>
      </c>
      <c r="N94" s="21" t="s">
        <v>199</v>
      </c>
      <c r="O94" s="63">
        <v>201.8</v>
      </c>
      <c r="P94" s="21" t="s">
        <v>1030</v>
      </c>
      <c r="Q94" s="21" t="s">
        <v>493</v>
      </c>
      <c r="R94" s="21" t="s">
        <v>1031</v>
      </c>
      <c r="S94" s="21" t="s">
        <v>1032</v>
      </c>
      <c r="T94" s="21" t="s">
        <v>1033</v>
      </c>
      <c r="U94" s="21" t="s">
        <v>398</v>
      </c>
      <c r="V94" s="21" t="s">
        <v>326</v>
      </c>
      <c r="W94" s="21" t="s">
        <v>1034</v>
      </c>
      <c r="X94" s="21" t="s">
        <v>328</v>
      </c>
      <c r="Z94">
        <v>0</v>
      </c>
      <c r="AA94">
        <v>0</v>
      </c>
    </row>
    <row r="95" spans="1:27" x14ac:dyDescent="0.25">
      <c r="A95" s="21" t="s">
        <v>337</v>
      </c>
      <c r="B95" s="21" t="s">
        <v>315</v>
      </c>
      <c r="C95" s="21" t="s">
        <v>198</v>
      </c>
      <c r="D95" s="21" t="s">
        <v>199</v>
      </c>
      <c r="E95" s="21" t="s">
        <v>199</v>
      </c>
      <c r="F95" s="21" t="s">
        <v>1036</v>
      </c>
      <c r="G95" s="21" t="s">
        <v>1037</v>
      </c>
      <c r="H95" s="21" t="s">
        <v>1038</v>
      </c>
      <c r="I95" s="21" t="s">
        <v>1039</v>
      </c>
      <c r="J95" s="62">
        <v>43718</v>
      </c>
      <c r="K95" s="62">
        <v>44621</v>
      </c>
      <c r="L95" s="62">
        <v>30590</v>
      </c>
      <c r="M95" s="21" t="s">
        <v>341</v>
      </c>
      <c r="N95" s="21" t="s">
        <v>199</v>
      </c>
      <c r="O95" s="63">
        <v>161.44</v>
      </c>
      <c r="P95" s="21" t="s">
        <v>1040</v>
      </c>
      <c r="Q95" s="21" t="s">
        <v>321</v>
      </c>
      <c r="R95" s="21" t="s">
        <v>1041</v>
      </c>
      <c r="S95" s="21" t="s">
        <v>396</v>
      </c>
      <c r="T95" s="21" t="s">
        <v>397</v>
      </c>
      <c r="U95" s="21" t="s">
        <v>398</v>
      </c>
      <c r="V95" s="21" t="s">
        <v>326</v>
      </c>
      <c r="W95" s="21" t="s">
        <v>1042</v>
      </c>
      <c r="X95" s="21" t="s">
        <v>328</v>
      </c>
      <c r="Z95">
        <v>0</v>
      </c>
      <c r="AA95">
        <v>0</v>
      </c>
    </row>
    <row r="96" spans="1:27" x14ac:dyDescent="0.25">
      <c r="A96" s="21" t="s">
        <v>329</v>
      </c>
      <c r="B96" s="21" t="s">
        <v>315</v>
      </c>
      <c r="C96" s="21" t="s">
        <v>198</v>
      </c>
      <c r="D96" s="21" t="s">
        <v>199</v>
      </c>
      <c r="E96" s="21" t="s">
        <v>199</v>
      </c>
      <c r="F96" s="21" t="s">
        <v>1051</v>
      </c>
      <c r="G96" s="21" t="s">
        <v>1052</v>
      </c>
      <c r="H96" s="21" t="s">
        <v>1053</v>
      </c>
      <c r="I96" s="21" t="s">
        <v>640</v>
      </c>
      <c r="J96" s="62">
        <v>45983</v>
      </c>
      <c r="K96" s="62">
        <v>45983</v>
      </c>
      <c r="L96" s="62">
        <v>36600</v>
      </c>
      <c r="M96" s="21" t="s">
        <v>319</v>
      </c>
      <c r="N96" s="21" t="s">
        <v>199</v>
      </c>
      <c r="O96" s="63">
        <v>160.87</v>
      </c>
      <c r="P96" s="21" t="s">
        <v>1054</v>
      </c>
      <c r="Q96" s="21" t="s">
        <v>1055</v>
      </c>
      <c r="R96" s="21" t="s">
        <v>1056</v>
      </c>
      <c r="S96" s="21" t="s">
        <v>877</v>
      </c>
      <c r="T96" s="21" t="s">
        <v>878</v>
      </c>
      <c r="U96" s="21" t="s">
        <v>807</v>
      </c>
      <c r="V96" s="21" t="s">
        <v>370</v>
      </c>
      <c r="W96" s="21" t="s">
        <v>1057</v>
      </c>
      <c r="X96" s="21" t="s">
        <v>328</v>
      </c>
      <c r="Z96">
        <v>0</v>
      </c>
      <c r="AA96">
        <v>0</v>
      </c>
    </row>
    <row r="97" spans="1:27" x14ac:dyDescent="0.25">
      <c r="A97" s="21" t="s">
        <v>337</v>
      </c>
      <c r="B97" s="21" t="s">
        <v>315</v>
      </c>
      <c r="C97" s="21" t="s">
        <v>198</v>
      </c>
      <c r="D97" s="21" t="s">
        <v>199</v>
      </c>
      <c r="E97" s="21" t="s">
        <v>199</v>
      </c>
      <c r="F97" s="21" t="s">
        <v>2376</v>
      </c>
      <c r="G97" s="21" t="s">
        <v>2377</v>
      </c>
      <c r="H97" s="21" t="s">
        <v>2378</v>
      </c>
      <c r="I97" s="21" t="s">
        <v>2379</v>
      </c>
      <c r="J97" s="62">
        <v>46175</v>
      </c>
      <c r="K97" s="62">
        <v>46175</v>
      </c>
      <c r="L97" s="62">
        <v>28208</v>
      </c>
      <c r="M97" s="21" t="s">
        <v>341</v>
      </c>
      <c r="N97" s="21" t="s">
        <v>199</v>
      </c>
      <c r="O97" s="63">
        <v>151.12</v>
      </c>
      <c r="P97" s="21" t="s">
        <v>708</v>
      </c>
      <c r="Q97" s="21" t="s">
        <v>528</v>
      </c>
      <c r="R97" s="21" t="s">
        <v>2380</v>
      </c>
      <c r="S97" s="21" t="s">
        <v>396</v>
      </c>
      <c r="T97" s="21" t="s">
        <v>397</v>
      </c>
      <c r="U97" s="21" t="s">
        <v>398</v>
      </c>
      <c r="V97" s="21" t="s">
        <v>355</v>
      </c>
      <c r="W97" s="21" t="s">
        <v>2381</v>
      </c>
      <c r="X97" s="21" t="s">
        <v>328</v>
      </c>
      <c r="Z97">
        <v>0</v>
      </c>
      <c r="AA97">
        <v>0</v>
      </c>
    </row>
    <row r="98" spans="1:27" x14ac:dyDescent="0.25">
      <c r="A98" s="21" t="s">
        <v>329</v>
      </c>
      <c r="B98" s="21" t="s">
        <v>315</v>
      </c>
      <c r="C98" s="21" t="s">
        <v>198</v>
      </c>
      <c r="D98" s="21" t="s">
        <v>199</v>
      </c>
      <c r="E98" s="21" t="s">
        <v>199</v>
      </c>
      <c r="F98" s="21" t="s">
        <v>1065</v>
      </c>
      <c r="G98" s="21" t="s">
        <v>1066</v>
      </c>
      <c r="H98" s="21" t="s">
        <v>1067</v>
      </c>
      <c r="I98" s="21" t="s">
        <v>721</v>
      </c>
      <c r="J98" s="62">
        <v>45635</v>
      </c>
      <c r="K98" s="62">
        <v>45635</v>
      </c>
      <c r="L98" s="62">
        <v>30468</v>
      </c>
      <c r="M98" s="21" t="s">
        <v>319</v>
      </c>
      <c r="N98" s="21" t="s">
        <v>199</v>
      </c>
      <c r="O98" s="63">
        <v>169.34</v>
      </c>
      <c r="P98" s="21" t="s">
        <v>1068</v>
      </c>
      <c r="Q98" s="21" t="s">
        <v>473</v>
      </c>
      <c r="R98" s="21" t="s">
        <v>1069</v>
      </c>
      <c r="S98" s="21" t="s">
        <v>549</v>
      </c>
      <c r="T98" s="21" t="s">
        <v>550</v>
      </c>
      <c r="U98" s="21" t="s">
        <v>551</v>
      </c>
      <c r="V98" s="21" t="s">
        <v>326</v>
      </c>
      <c r="W98" s="21" t="s">
        <v>1070</v>
      </c>
      <c r="X98" s="21" t="s">
        <v>328</v>
      </c>
      <c r="Z98">
        <v>0</v>
      </c>
      <c r="AA98">
        <v>0</v>
      </c>
    </row>
    <row r="99" spans="1:27" x14ac:dyDescent="0.25">
      <c r="A99" s="21" t="s">
        <v>337</v>
      </c>
      <c r="B99" s="21" t="s">
        <v>315</v>
      </c>
      <c r="C99" s="21" t="s">
        <v>198</v>
      </c>
      <c r="D99" s="21" t="s">
        <v>240</v>
      </c>
      <c r="E99" s="21" t="s">
        <v>199</v>
      </c>
      <c r="F99" s="21" t="s">
        <v>1091</v>
      </c>
      <c r="G99" s="21" t="s">
        <v>1092</v>
      </c>
      <c r="H99" s="21" t="s">
        <v>803</v>
      </c>
      <c r="I99" s="21" t="s">
        <v>1093</v>
      </c>
      <c r="J99" s="62">
        <v>44816</v>
      </c>
      <c r="K99" s="62">
        <v>44816</v>
      </c>
      <c r="L99" s="62">
        <v>25580</v>
      </c>
      <c r="M99" s="21" t="s">
        <v>319</v>
      </c>
      <c r="N99" s="21" t="s">
        <v>240</v>
      </c>
      <c r="O99" s="63">
        <v>75000</v>
      </c>
      <c r="P99" s="21" t="s">
        <v>1094</v>
      </c>
      <c r="Q99" s="21" t="s">
        <v>317</v>
      </c>
      <c r="R99" s="21" t="s">
        <v>1095</v>
      </c>
      <c r="S99" s="21" t="s">
        <v>1096</v>
      </c>
      <c r="T99" s="21" t="s">
        <v>1097</v>
      </c>
      <c r="U99" s="21" t="s">
        <v>1098</v>
      </c>
      <c r="V99" s="21" t="s">
        <v>355</v>
      </c>
      <c r="W99" s="21" t="s">
        <v>1099</v>
      </c>
      <c r="X99" s="21" t="s">
        <v>375</v>
      </c>
      <c r="Z99">
        <v>0</v>
      </c>
      <c r="AA99">
        <v>0</v>
      </c>
    </row>
    <row r="100" spans="1:27" x14ac:dyDescent="0.25">
      <c r="A100" s="21" t="s">
        <v>337</v>
      </c>
      <c r="B100" s="21" t="s">
        <v>315</v>
      </c>
      <c r="C100" s="21" t="s">
        <v>198</v>
      </c>
      <c r="D100" s="21" t="s">
        <v>199</v>
      </c>
      <c r="E100" s="21" t="s">
        <v>199</v>
      </c>
      <c r="F100" s="21" t="s">
        <v>2442</v>
      </c>
      <c r="G100" s="21" t="s">
        <v>2443</v>
      </c>
      <c r="H100" s="21" t="s">
        <v>2444</v>
      </c>
      <c r="I100" s="21" t="s">
        <v>2445</v>
      </c>
      <c r="J100" s="62">
        <v>46225</v>
      </c>
      <c r="K100" s="62">
        <v>46225</v>
      </c>
      <c r="L100" s="62">
        <v>28829</v>
      </c>
      <c r="M100" s="21" t="s">
        <v>341</v>
      </c>
      <c r="N100" s="21" t="s">
        <v>199</v>
      </c>
      <c r="O100" s="63">
        <v>155.56</v>
      </c>
      <c r="P100" s="21" t="s">
        <v>419</v>
      </c>
      <c r="Q100" s="21" t="s">
        <v>473</v>
      </c>
      <c r="R100" s="21" t="s">
        <v>2446</v>
      </c>
      <c r="S100" s="21" t="s">
        <v>345</v>
      </c>
      <c r="T100" s="21" t="s">
        <v>346</v>
      </c>
      <c r="U100" s="21" t="s">
        <v>422</v>
      </c>
      <c r="V100" s="21" t="s">
        <v>355</v>
      </c>
      <c r="W100" s="21" t="s">
        <v>2447</v>
      </c>
      <c r="X100" s="21" t="s">
        <v>328</v>
      </c>
      <c r="Z100">
        <v>0</v>
      </c>
      <c r="AA100">
        <v>0</v>
      </c>
    </row>
    <row r="101" spans="1:27" x14ac:dyDescent="0.25">
      <c r="A101" s="21" t="s">
        <v>329</v>
      </c>
      <c r="B101" s="21" t="s">
        <v>315</v>
      </c>
      <c r="C101" s="21" t="s">
        <v>198</v>
      </c>
      <c r="D101" s="21" t="s">
        <v>199</v>
      </c>
      <c r="E101" s="21" t="s">
        <v>199</v>
      </c>
      <c r="F101" s="21" t="s">
        <v>2448</v>
      </c>
      <c r="G101" s="21" t="s">
        <v>2449</v>
      </c>
      <c r="H101" s="21" t="s">
        <v>750</v>
      </c>
      <c r="I101" s="21" t="s">
        <v>619</v>
      </c>
      <c r="J101" s="62">
        <v>46225</v>
      </c>
      <c r="K101" s="62">
        <v>46225</v>
      </c>
      <c r="L101" s="62">
        <v>28470</v>
      </c>
      <c r="M101" s="21" t="s">
        <v>341</v>
      </c>
      <c r="N101" s="21" t="s">
        <v>199</v>
      </c>
      <c r="O101" s="63">
        <v>155.56</v>
      </c>
      <c r="P101" s="21" t="s">
        <v>595</v>
      </c>
      <c r="Q101" s="21" t="s">
        <v>420</v>
      </c>
      <c r="R101" s="21" t="s">
        <v>2450</v>
      </c>
      <c r="S101" s="21" t="s">
        <v>345</v>
      </c>
      <c r="T101" s="21" t="s">
        <v>346</v>
      </c>
      <c r="U101" s="21" t="s">
        <v>422</v>
      </c>
      <c r="V101" s="21" t="s">
        <v>355</v>
      </c>
      <c r="W101" s="21" t="s">
        <v>2451</v>
      </c>
      <c r="X101" s="21" t="s">
        <v>328</v>
      </c>
      <c r="Z101">
        <v>0</v>
      </c>
      <c r="AA101">
        <v>0</v>
      </c>
    </row>
    <row r="102" spans="1:27" x14ac:dyDescent="0.25">
      <c r="A102" s="21" t="s">
        <v>337</v>
      </c>
      <c r="B102" s="21" t="s">
        <v>236</v>
      </c>
      <c r="C102" s="21" t="s">
        <v>227</v>
      </c>
      <c r="D102" s="21" t="s">
        <v>227</v>
      </c>
      <c r="E102" s="21" t="s">
        <v>227</v>
      </c>
      <c r="F102" s="21" t="s">
        <v>2387</v>
      </c>
      <c r="G102" s="21" t="s">
        <v>2388</v>
      </c>
      <c r="H102" s="21" t="s">
        <v>2389</v>
      </c>
      <c r="I102" s="21" t="s">
        <v>2390</v>
      </c>
      <c r="J102" s="62">
        <v>46188</v>
      </c>
      <c r="K102" s="62">
        <v>46188</v>
      </c>
      <c r="L102" s="62">
        <v>30675</v>
      </c>
      <c r="M102" s="21" t="s">
        <v>341</v>
      </c>
      <c r="N102" s="21" t="s">
        <v>227</v>
      </c>
      <c r="O102" s="63">
        <v>65000</v>
      </c>
      <c r="P102" s="21" t="s">
        <v>2391</v>
      </c>
      <c r="Q102" s="21" t="s">
        <v>1087</v>
      </c>
      <c r="R102" s="21" t="s">
        <v>2392</v>
      </c>
      <c r="S102" s="21" t="s">
        <v>753</v>
      </c>
      <c r="T102" s="21" t="s">
        <v>754</v>
      </c>
      <c r="U102" s="21" t="s">
        <v>212</v>
      </c>
      <c r="V102" s="21" t="s">
        <v>326</v>
      </c>
      <c r="W102" s="21" t="s">
        <v>2393</v>
      </c>
      <c r="X102" s="21" t="s">
        <v>328</v>
      </c>
      <c r="Z102">
        <v>0</v>
      </c>
      <c r="AA102">
        <v>0</v>
      </c>
    </row>
    <row r="103" spans="1:27" x14ac:dyDescent="0.25">
      <c r="A103" s="21" t="s">
        <v>329</v>
      </c>
      <c r="B103" s="21" t="s">
        <v>236</v>
      </c>
      <c r="C103" s="21" t="s">
        <v>227</v>
      </c>
      <c r="D103" s="21" t="s">
        <v>227</v>
      </c>
      <c r="E103" s="21" t="s">
        <v>227</v>
      </c>
      <c r="F103" s="21" t="s">
        <v>1123</v>
      </c>
      <c r="G103" s="21" t="s">
        <v>1124</v>
      </c>
      <c r="H103" s="21" t="s">
        <v>670</v>
      </c>
      <c r="I103" s="21" t="s">
        <v>426</v>
      </c>
      <c r="J103" s="62">
        <v>45792</v>
      </c>
      <c r="K103" s="62">
        <v>45792</v>
      </c>
      <c r="L103" s="62">
        <v>22647</v>
      </c>
      <c r="M103" s="21" t="s">
        <v>319</v>
      </c>
      <c r="N103" s="21" t="s">
        <v>227</v>
      </c>
      <c r="O103" s="63">
        <v>288.89</v>
      </c>
      <c r="P103" s="21" t="s">
        <v>957</v>
      </c>
      <c r="Q103" s="21" t="s">
        <v>665</v>
      </c>
      <c r="R103" s="21"/>
      <c r="S103" s="21" t="s">
        <v>1125</v>
      </c>
      <c r="T103" s="21" t="s">
        <v>1126</v>
      </c>
      <c r="U103" s="21" t="s">
        <v>1127</v>
      </c>
      <c r="V103" s="21" t="s">
        <v>326</v>
      </c>
      <c r="W103" s="21" t="s">
        <v>1128</v>
      </c>
      <c r="X103" s="21" t="s">
        <v>375</v>
      </c>
      <c r="Z103">
        <v>0</v>
      </c>
      <c r="AA103">
        <v>0</v>
      </c>
    </row>
    <row r="104" spans="1:27" x14ac:dyDescent="0.25">
      <c r="A104" s="21" t="s">
        <v>444</v>
      </c>
      <c r="B104" s="21" t="s">
        <v>315</v>
      </c>
      <c r="C104" s="21" t="s">
        <v>315</v>
      </c>
      <c r="D104" s="21" t="s">
        <v>237</v>
      </c>
      <c r="E104" s="21" t="s">
        <v>1450</v>
      </c>
      <c r="F104" s="21" t="s">
        <v>1451</v>
      </c>
      <c r="G104" s="21" t="s">
        <v>1452</v>
      </c>
      <c r="H104" s="21" t="s">
        <v>867</v>
      </c>
      <c r="I104" s="21" t="s">
        <v>1453</v>
      </c>
      <c r="J104" s="62">
        <v>45846</v>
      </c>
      <c r="K104" s="62">
        <v>45846</v>
      </c>
      <c r="L104" s="62">
        <v>32620</v>
      </c>
      <c r="M104" s="21" t="s">
        <v>319</v>
      </c>
      <c r="N104" s="21" t="s">
        <v>237</v>
      </c>
      <c r="O104" s="63">
        <v>222.23</v>
      </c>
      <c r="P104" s="21" t="s">
        <v>1454</v>
      </c>
      <c r="Q104" s="21" t="s">
        <v>675</v>
      </c>
      <c r="R104" s="21" t="s">
        <v>1455</v>
      </c>
      <c r="S104" s="21" t="s">
        <v>1456</v>
      </c>
      <c r="T104" s="21" t="s">
        <v>1457</v>
      </c>
      <c r="U104" s="21" t="s">
        <v>1458</v>
      </c>
      <c r="V104" s="21" t="s">
        <v>355</v>
      </c>
      <c r="W104" s="21" t="s">
        <v>1459</v>
      </c>
      <c r="X104" s="21" t="s">
        <v>328</v>
      </c>
      <c r="Z104">
        <v>0</v>
      </c>
      <c r="AA104">
        <v>0</v>
      </c>
    </row>
    <row r="105" spans="1:27" x14ac:dyDescent="0.25">
      <c r="A105" s="21" t="s">
        <v>364</v>
      </c>
      <c r="B105" s="21" t="s">
        <v>315</v>
      </c>
      <c r="C105" s="21" t="s">
        <v>315</v>
      </c>
      <c r="D105" s="21" t="s">
        <v>209</v>
      </c>
      <c r="E105" s="21" t="s">
        <v>209</v>
      </c>
      <c r="F105" s="21" t="s">
        <v>1206</v>
      </c>
      <c r="G105" s="21" t="s">
        <v>1207</v>
      </c>
      <c r="H105" s="21" t="s">
        <v>331</v>
      </c>
      <c r="I105" s="21" t="s">
        <v>1208</v>
      </c>
      <c r="J105" s="62">
        <v>45187</v>
      </c>
      <c r="K105" s="62">
        <v>45187</v>
      </c>
      <c r="L105" s="62">
        <v>27469</v>
      </c>
      <c r="M105" s="21" t="s">
        <v>319</v>
      </c>
      <c r="N105" s="21" t="s">
        <v>209</v>
      </c>
      <c r="O105" s="63">
        <v>148.22999999999999</v>
      </c>
      <c r="P105" s="21" t="s">
        <v>468</v>
      </c>
      <c r="Q105" s="21" t="s">
        <v>596</v>
      </c>
      <c r="R105" s="21" t="s">
        <v>1209</v>
      </c>
      <c r="S105" s="21" t="s">
        <v>667</v>
      </c>
      <c r="T105" s="21" t="s">
        <v>668</v>
      </c>
      <c r="U105" s="21" t="s">
        <v>669</v>
      </c>
      <c r="V105" s="21" t="s">
        <v>326</v>
      </c>
      <c r="W105" s="21" t="s">
        <v>1210</v>
      </c>
      <c r="X105" s="21" t="s">
        <v>375</v>
      </c>
      <c r="Z105">
        <v>0</v>
      </c>
      <c r="AA105">
        <v>0</v>
      </c>
    </row>
    <row r="106" spans="1:27" x14ac:dyDescent="0.25">
      <c r="A106" s="21" t="s">
        <v>314</v>
      </c>
      <c r="B106" s="21" t="s">
        <v>315</v>
      </c>
      <c r="C106" s="21" t="s">
        <v>315</v>
      </c>
      <c r="D106" s="21" t="s">
        <v>209</v>
      </c>
      <c r="E106" s="21" t="s">
        <v>209</v>
      </c>
      <c r="F106" s="21" t="s">
        <v>1498</v>
      </c>
      <c r="G106" s="21" t="s">
        <v>1499</v>
      </c>
      <c r="H106" s="21" t="s">
        <v>1500</v>
      </c>
      <c r="I106" s="21" t="s">
        <v>619</v>
      </c>
      <c r="J106" s="62">
        <v>45190</v>
      </c>
      <c r="K106" s="62">
        <v>45190</v>
      </c>
      <c r="L106" s="62">
        <v>37688</v>
      </c>
      <c r="M106" s="21" t="s">
        <v>341</v>
      </c>
      <c r="N106" s="21" t="s">
        <v>209</v>
      </c>
      <c r="O106" s="63">
        <v>155.75</v>
      </c>
      <c r="P106" s="21" t="s">
        <v>478</v>
      </c>
      <c r="Q106" s="21" t="s">
        <v>1501</v>
      </c>
      <c r="R106" s="21" t="s">
        <v>1502</v>
      </c>
      <c r="S106" s="21" t="s">
        <v>1387</v>
      </c>
      <c r="T106" s="21" t="s">
        <v>1388</v>
      </c>
      <c r="U106" s="21" t="s">
        <v>1120</v>
      </c>
      <c r="V106" s="21" t="s">
        <v>326</v>
      </c>
      <c r="W106" s="21" t="s">
        <v>1503</v>
      </c>
      <c r="X106" s="21" t="s">
        <v>328</v>
      </c>
      <c r="Z106">
        <v>0</v>
      </c>
      <c r="AA106">
        <v>0</v>
      </c>
    </row>
    <row r="107" spans="1:27" x14ac:dyDescent="0.25">
      <c r="A107" s="21" t="s">
        <v>314</v>
      </c>
      <c r="B107" s="21" t="s">
        <v>315</v>
      </c>
      <c r="C107" s="21" t="s">
        <v>315</v>
      </c>
      <c r="D107" s="21" t="s">
        <v>209</v>
      </c>
      <c r="E107" s="21" t="s">
        <v>209</v>
      </c>
      <c r="F107" s="21" t="s">
        <v>1541</v>
      </c>
      <c r="G107" s="21" t="s">
        <v>1542</v>
      </c>
      <c r="H107" s="21" t="s">
        <v>1543</v>
      </c>
      <c r="I107" s="21" t="s">
        <v>1544</v>
      </c>
      <c r="J107" s="62">
        <v>43199</v>
      </c>
      <c r="K107" s="62">
        <v>43199</v>
      </c>
      <c r="L107" s="62">
        <v>27115</v>
      </c>
      <c r="M107" s="21" t="s">
        <v>319</v>
      </c>
      <c r="N107" s="21" t="s">
        <v>209</v>
      </c>
      <c r="O107" s="63">
        <v>177.58</v>
      </c>
      <c r="P107" s="21" t="s">
        <v>1043</v>
      </c>
      <c r="Q107" s="21" t="s">
        <v>1545</v>
      </c>
      <c r="R107" s="21" t="s">
        <v>1546</v>
      </c>
      <c r="S107" s="21" t="s">
        <v>667</v>
      </c>
      <c r="T107" s="21" t="s">
        <v>668</v>
      </c>
      <c r="U107" s="21" t="s">
        <v>669</v>
      </c>
      <c r="V107" s="21" t="s">
        <v>326</v>
      </c>
      <c r="W107" s="21" t="s">
        <v>1547</v>
      </c>
      <c r="X107" s="21" t="s">
        <v>328</v>
      </c>
      <c r="Z107">
        <v>0</v>
      </c>
      <c r="AA107">
        <v>0</v>
      </c>
    </row>
    <row r="108" spans="1:27" x14ac:dyDescent="0.25">
      <c r="A108" s="21" t="s">
        <v>314</v>
      </c>
      <c r="B108" s="21" t="s">
        <v>315</v>
      </c>
      <c r="C108" s="21" t="s">
        <v>315</v>
      </c>
      <c r="D108" s="21" t="s">
        <v>209</v>
      </c>
      <c r="E108" s="21" t="s">
        <v>209</v>
      </c>
      <c r="F108" s="21" t="s">
        <v>1591</v>
      </c>
      <c r="G108" s="21" t="s">
        <v>1592</v>
      </c>
      <c r="H108" s="21" t="s">
        <v>353</v>
      </c>
      <c r="I108" s="21" t="s">
        <v>1593</v>
      </c>
      <c r="J108" s="62">
        <v>41803</v>
      </c>
      <c r="K108" s="62">
        <v>41803</v>
      </c>
      <c r="L108" s="62">
        <v>34237</v>
      </c>
      <c r="M108" s="21" t="s">
        <v>319</v>
      </c>
      <c r="N108" s="21" t="s">
        <v>209</v>
      </c>
      <c r="O108" s="63">
        <v>189.69</v>
      </c>
      <c r="P108" s="21" t="s">
        <v>676</v>
      </c>
      <c r="Q108" s="21" t="s">
        <v>317</v>
      </c>
      <c r="R108" s="21" t="s">
        <v>1594</v>
      </c>
      <c r="S108" s="21" t="s">
        <v>667</v>
      </c>
      <c r="T108" s="21" t="s">
        <v>668</v>
      </c>
      <c r="U108" s="21" t="s">
        <v>1595</v>
      </c>
      <c r="V108" s="21" t="s">
        <v>370</v>
      </c>
      <c r="W108" s="21" t="s">
        <v>1596</v>
      </c>
      <c r="X108" s="21" t="s">
        <v>328</v>
      </c>
      <c r="Z108">
        <v>0</v>
      </c>
      <c r="AA108">
        <v>0</v>
      </c>
    </row>
    <row r="109" spans="1:27" x14ac:dyDescent="0.25">
      <c r="A109" s="21" t="s">
        <v>314</v>
      </c>
      <c r="B109" s="21" t="s">
        <v>315</v>
      </c>
      <c r="C109" s="21" t="s">
        <v>315</v>
      </c>
      <c r="D109" s="21" t="s">
        <v>240</v>
      </c>
      <c r="E109" s="21" t="s">
        <v>209</v>
      </c>
      <c r="F109" s="21" t="s">
        <v>1630</v>
      </c>
      <c r="G109" s="21" t="s">
        <v>1631</v>
      </c>
      <c r="H109" s="21" t="s">
        <v>473</v>
      </c>
      <c r="I109" s="21" t="s">
        <v>1632</v>
      </c>
      <c r="J109" s="62">
        <v>44996</v>
      </c>
      <c r="K109" s="62">
        <v>44996</v>
      </c>
      <c r="L109" s="62">
        <v>27063</v>
      </c>
      <c r="M109" s="21" t="s">
        <v>319</v>
      </c>
      <c r="N109" s="21" t="s">
        <v>240</v>
      </c>
      <c r="O109" s="63">
        <v>73125</v>
      </c>
      <c r="P109" s="21" t="s">
        <v>427</v>
      </c>
      <c r="Q109" s="21" t="s">
        <v>531</v>
      </c>
      <c r="R109" s="21" t="s">
        <v>1633</v>
      </c>
      <c r="S109" s="21" t="s">
        <v>1020</v>
      </c>
      <c r="T109" s="21" t="s">
        <v>1021</v>
      </c>
      <c r="U109" s="21" t="s">
        <v>1634</v>
      </c>
      <c r="V109" s="21" t="s">
        <v>326</v>
      </c>
      <c r="W109" s="21" t="s">
        <v>1635</v>
      </c>
      <c r="X109" s="21" t="s">
        <v>375</v>
      </c>
      <c r="Z109">
        <v>0</v>
      </c>
      <c r="AA109">
        <v>0</v>
      </c>
    </row>
    <row r="110" spans="1:27" x14ac:dyDescent="0.25">
      <c r="A110" s="21" t="s">
        <v>337</v>
      </c>
      <c r="B110" s="21" t="s">
        <v>315</v>
      </c>
      <c r="C110" s="21" t="s">
        <v>315</v>
      </c>
      <c r="D110" s="21" t="s">
        <v>209</v>
      </c>
      <c r="E110" s="21" t="s">
        <v>209</v>
      </c>
      <c r="F110" s="21" t="s">
        <v>1725</v>
      </c>
      <c r="G110" s="21" t="s">
        <v>1726</v>
      </c>
      <c r="H110" s="21" t="s">
        <v>664</v>
      </c>
      <c r="I110" s="21" t="s">
        <v>737</v>
      </c>
      <c r="J110" s="62">
        <v>43843</v>
      </c>
      <c r="K110" s="62">
        <v>43843</v>
      </c>
      <c r="L110" s="62">
        <v>25213</v>
      </c>
      <c r="M110" s="21" t="s">
        <v>319</v>
      </c>
      <c r="N110" s="21" t="s">
        <v>209</v>
      </c>
      <c r="O110" s="63">
        <v>197.03</v>
      </c>
      <c r="P110" s="21" t="s">
        <v>460</v>
      </c>
      <c r="Q110" s="21" t="s">
        <v>317</v>
      </c>
      <c r="R110" s="21" t="s">
        <v>1727</v>
      </c>
      <c r="S110" s="21" t="s">
        <v>667</v>
      </c>
      <c r="T110" s="21" t="s">
        <v>668</v>
      </c>
      <c r="U110" s="21" t="s">
        <v>669</v>
      </c>
      <c r="V110" s="21" t="s">
        <v>326</v>
      </c>
      <c r="W110" s="21" t="s">
        <v>1728</v>
      </c>
      <c r="X110" s="21" t="s">
        <v>375</v>
      </c>
      <c r="Z110">
        <v>0</v>
      </c>
      <c r="AA110">
        <v>0</v>
      </c>
    </row>
    <row r="111" spans="1:27" x14ac:dyDescent="0.25">
      <c r="A111" s="21" t="s">
        <v>510</v>
      </c>
      <c r="B111" s="21" t="s">
        <v>315</v>
      </c>
      <c r="C111" s="21" t="s">
        <v>315</v>
      </c>
      <c r="D111" s="21" t="s">
        <v>209</v>
      </c>
      <c r="E111" s="21" t="s">
        <v>209</v>
      </c>
      <c r="F111" s="21" t="s">
        <v>1781</v>
      </c>
      <c r="G111" s="21" t="s">
        <v>1782</v>
      </c>
      <c r="H111" s="21" t="s">
        <v>493</v>
      </c>
      <c r="I111" s="21" t="s">
        <v>1544</v>
      </c>
      <c r="J111" s="62">
        <v>44995</v>
      </c>
      <c r="K111" s="62">
        <v>44995</v>
      </c>
      <c r="L111" s="62">
        <v>29007</v>
      </c>
      <c r="M111" s="21" t="s">
        <v>319</v>
      </c>
      <c r="N111" s="21" t="s">
        <v>209</v>
      </c>
      <c r="O111" s="63">
        <v>209.88</v>
      </c>
      <c r="P111" s="21" t="s">
        <v>1043</v>
      </c>
      <c r="Q111" s="21" t="s">
        <v>1783</v>
      </c>
      <c r="R111" s="21" t="s">
        <v>1784</v>
      </c>
      <c r="S111" s="21" t="s">
        <v>667</v>
      </c>
      <c r="T111" s="21" t="s">
        <v>668</v>
      </c>
      <c r="U111" s="21" t="s">
        <v>1785</v>
      </c>
      <c r="V111" s="21" t="s">
        <v>326</v>
      </c>
      <c r="W111" s="21" t="s">
        <v>1786</v>
      </c>
      <c r="X111" s="21" t="s">
        <v>375</v>
      </c>
      <c r="Z111">
        <v>0</v>
      </c>
      <c r="AA111">
        <v>0</v>
      </c>
    </row>
    <row r="112" spans="1:27" x14ac:dyDescent="0.25">
      <c r="A112" s="21" t="s">
        <v>364</v>
      </c>
      <c r="B112" s="21" t="s">
        <v>315</v>
      </c>
      <c r="C112" s="21" t="s">
        <v>315</v>
      </c>
      <c r="D112" s="21" t="s">
        <v>240</v>
      </c>
      <c r="E112" s="21" t="s">
        <v>1166</v>
      </c>
      <c r="F112" s="21" t="s">
        <v>1167</v>
      </c>
      <c r="G112" s="21" t="s">
        <v>1168</v>
      </c>
      <c r="H112" s="21" t="s">
        <v>1169</v>
      </c>
      <c r="I112" s="21" t="s">
        <v>735</v>
      </c>
      <c r="J112" s="62">
        <v>45110</v>
      </c>
      <c r="K112" s="62">
        <v>45110</v>
      </c>
      <c r="L112" s="62">
        <v>32321</v>
      </c>
      <c r="M112" s="21" t="s">
        <v>319</v>
      </c>
      <c r="N112" s="21" t="s">
        <v>240</v>
      </c>
      <c r="O112" s="63">
        <v>80000</v>
      </c>
      <c r="P112" s="21" t="s">
        <v>740</v>
      </c>
      <c r="Q112" s="21" t="s">
        <v>1170</v>
      </c>
      <c r="R112" s="21" t="s">
        <v>1171</v>
      </c>
      <c r="S112" s="21" t="s">
        <v>1172</v>
      </c>
      <c r="T112" s="21" t="s">
        <v>1173</v>
      </c>
      <c r="U112" s="21" t="s">
        <v>1174</v>
      </c>
      <c r="V112" s="21" t="s">
        <v>666</v>
      </c>
      <c r="W112" s="21" t="s">
        <v>1175</v>
      </c>
      <c r="X112" s="21" t="s">
        <v>328</v>
      </c>
      <c r="Z112">
        <v>0</v>
      </c>
      <c r="AA112">
        <v>0</v>
      </c>
    </row>
    <row r="113" spans="1:27" x14ac:dyDescent="0.25">
      <c r="A113" s="21" t="s">
        <v>337</v>
      </c>
      <c r="B113" s="21" t="s">
        <v>315</v>
      </c>
      <c r="C113" s="21" t="s">
        <v>315</v>
      </c>
      <c r="D113" s="21" t="s">
        <v>228</v>
      </c>
      <c r="E113" s="21" t="s">
        <v>1166</v>
      </c>
      <c r="F113" s="21" t="s">
        <v>1278</v>
      </c>
      <c r="G113" s="21" t="s">
        <v>1279</v>
      </c>
      <c r="H113" s="21" t="s">
        <v>1280</v>
      </c>
      <c r="I113" s="21" t="s">
        <v>1281</v>
      </c>
      <c r="J113" s="62">
        <v>45222</v>
      </c>
      <c r="K113" s="62">
        <v>45757</v>
      </c>
      <c r="L113" s="62">
        <v>29634</v>
      </c>
      <c r="M113" s="21" t="s">
        <v>341</v>
      </c>
      <c r="N113" s="21" t="s">
        <v>228</v>
      </c>
      <c r="O113" s="63">
        <v>70000</v>
      </c>
      <c r="P113" s="21" t="s">
        <v>708</v>
      </c>
      <c r="Q113" s="21" t="s">
        <v>353</v>
      </c>
      <c r="R113" s="21" t="s">
        <v>1282</v>
      </c>
      <c r="S113" s="21" t="s">
        <v>1283</v>
      </c>
      <c r="T113" s="21" t="s">
        <v>1284</v>
      </c>
      <c r="U113" s="21" t="s">
        <v>1285</v>
      </c>
      <c r="V113" s="21" t="s">
        <v>666</v>
      </c>
      <c r="W113" s="21" t="s">
        <v>1286</v>
      </c>
      <c r="X113" s="21" t="s">
        <v>328</v>
      </c>
      <c r="Z113">
        <v>0</v>
      </c>
      <c r="AA113">
        <v>0</v>
      </c>
    </row>
    <row r="114" spans="1:27" x14ac:dyDescent="0.25">
      <c r="A114" s="21" t="s">
        <v>337</v>
      </c>
      <c r="B114" s="21" t="s">
        <v>315</v>
      </c>
      <c r="C114" s="21" t="s">
        <v>315</v>
      </c>
      <c r="D114" s="21" t="s">
        <v>240</v>
      </c>
      <c r="E114" s="21" t="s">
        <v>1166</v>
      </c>
      <c r="F114" s="21" t="s">
        <v>1397</v>
      </c>
      <c r="G114" s="21" t="s">
        <v>1398</v>
      </c>
      <c r="H114" s="21" t="s">
        <v>845</v>
      </c>
      <c r="I114" s="21" t="s">
        <v>1399</v>
      </c>
      <c r="J114" s="62">
        <v>42093</v>
      </c>
      <c r="K114" s="62">
        <v>42093</v>
      </c>
      <c r="L114" s="62">
        <v>34344</v>
      </c>
      <c r="M114" s="21" t="s">
        <v>319</v>
      </c>
      <c r="N114" s="21" t="s">
        <v>240</v>
      </c>
      <c r="O114" s="63">
        <v>43590</v>
      </c>
      <c r="P114" s="21" t="s">
        <v>460</v>
      </c>
      <c r="Q114" s="21" t="s">
        <v>1400</v>
      </c>
      <c r="R114" s="21"/>
      <c r="S114" s="21" t="s">
        <v>1401</v>
      </c>
      <c r="T114" s="21" t="s">
        <v>1402</v>
      </c>
      <c r="U114" s="21" t="s">
        <v>1403</v>
      </c>
      <c r="V114" s="21" t="s">
        <v>370</v>
      </c>
      <c r="W114" s="21" t="s">
        <v>1404</v>
      </c>
      <c r="X114" s="21" t="s">
        <v>328</v>
      </c>
      <c r="Z114">
        <v>0</v>
      </c>
      <c r="AA114">
        <v>0</v>
      </c>
    </row>
    <row r="115" spans="1:27" x14ac:dyDescent="0.25">
      <c r="A115" s="21" t="s">
        <v>314</v>
      </c>
      <c r="B115" s="21" t="s">
        <v>315</v>
      </c>
      <c r="C115" s="21" t="s">
        <v>315</v>
      </c>
      <c r="D115" s="21" t="s">
        <v>228</v>
      </c>
      <c r="E115" s="21" t="s">
        <v>1166</v>
      </c>
      <c r="F115" s="21" t="s">
        <v>1707</v>
      </c>
      <c r="G115" s="21" t="s">
        <v>1708</v>
      </c>
      <c r="H115" s="21" t="s">
        <v>591</v>
      </c>
      <c r="I115" s="21" t="s">
        <v>1363</v>
      </c>
      <c r="J115" s="62">
        <v>45366</v>
      </c>
      <c r="K115" s="62">
        <v>45757</v>
      </c>
      <c r="L115" s="62">
        <v>33734</v>
      </c>
      <c r="M115" s="21" t="s">
        <v>319</v>
      </c>
      <c r="N115" s="21" t="s">
        <v>228</v>
      </c>
      <c r="O115" s="63">
        <v>60000</v>
      </c>
      <c r="P115" s="21" t="s">
        <v>478</v>
      </c>
      <c r="Q115" s="21" t="s">
        <v>483</v>
      </c>
      <c r="R115" s="21" t="s">
        <v>1709</v>
      </c>
      <c r="S115" s="21" t="s">
        <v>1507</v>
      </c>
      <c r="T115" s="21" t="s">
        <v>1508</v>
      </c>
      <c r="U115" s="21" t="s">
        <v>1710</v>
      </c>
      <c r="V115" s="21" t="s">
        <v>666</v>
      </c>
      <c r="W115" s="21" t="s">
        <v>1711</v>
      </c>
      <c r="X115" s="21" t="s">
        <v>328</v>
      </c>
      <c r="Z115">
        <v>0</v>
      </c>
      <c r="AA115">
        <v>0</v>
      </c>
    </row>
    <row r="116" spans="1:27" x14ac:dyDescent="0.25">
      <c r="A116" s="21" t="s">
        <v>444</v>
      </c>
      <c r="B116" s="21" t="s">
        <v>315</v>
      </c>
      <c r="C116" s="21" t="s">
        <v>315</v>
      </c>
      <c r="D116" s="21" t="s">
        <v>240</v>
      </c>
      <c r="E116" s="21" t="s">
        <v>1166</v>
      </c>
      <c r="F116" s="21" t="s">
        <v>1969</v>
      </c>
      <c r="G116" s="21" t="s">
        <v>1970</v>
      </c>
      <c r="H116" s="21" t="s">
        <v>1971</v>
      </c>
      <c r="I116" s="21" t="s">
        <v>1972</v>
      </c>
      <c r="J116" s="62">
        <v>44263</v>
      </c>
      <c r="K116" s="62">
        <v>44263</v>
      </c>
      <c r="L116" s="62">
        <v>35943</v>
      </c>
      <c r="M116" s="21" t="s">
        <v>319</v>
      </c>
      <c r="N116" s="21" t="s">
        <v>240</v>
      </c>
      <c r="O116" s="63">
        <v>43590</v>
      </c>
      <c r="P116" s="21" t="s">
        <v>724</v>
      </c>
      <c r="Q116" s="21" t="s">
        <v>1973</v>
      </c>
      <c r="R116" s="21" t="s">
        <v>1974</v>
      </c>
      <c r="S116" s="21" t="s">
        <v>679</v>
      </c>
      <c r="T116" s="21" t="s">
        <v>680</v>
      </c>
      <c r="U116" s="21" t="s">
        <v>1014</v>
      </c>
      <c r="V116" s="21" t="s">
        <v>326</v>
      </c>
      <c r="W116" s="21" t="s">
        <v>1975</v>
      </c>
      <c r="X116" s="21" t="s">
        <v>328</v>
      </c>
      <c r="Z116">
        <v>0</v>
      </c>
      <c r="AA116">
        <v>0</v>
      </c>
    </row>
    <row r="117" spans="1:27" x14ac:dyDescent="0.25">
      <c r="A117" s="21" t="s">
        <v>314</v>
      </c>
      <c r="B117" s="21" t="s">
        <v>315</v>
      </c>
      <c r="C117" s="21" t="s">
        <v>315</v>
      </c>
      <c r="D117" s="21" t="s">
        <v>240</v>
      </c>
      <c r="E117" s="21" t="s">
        <v>1166</v>
      </c>
      <c r="F117" s="21" t="s">
        <v>2052</v>
      </c>
      <c r="G117" s="21" t="s">
        <v>2053</v>
      </c>
      <c r="H117" s="21" t="s">
        <v>2054</v>
      </c>
      <c r="I117" s="21" t="s">
        <v>2055</v>
      </c>
      <c r="J117" s="62">
        <v>42471</v>
      </c>
      <c r="K117" s="62">
        <v>42471</v>
      </c>
      <c r="L117" s="62">
        <v>24912</v>
      </c>
      <c r="M117" s="21" t="s">
        <v>319</v>
      </c>
      <c r="N117" s="21" t="s">
        <v>240</v>
      </c>
      <c r="O117" s="63">
        <v>68750</v>
      </c>
      <c r="P117" s="21" t="s">
        <v>1804</v>
      </c>
      <c r="Q117" s="21" t="s">
        <v>2056</v>
      </c>
      <c r="R117" s="21" t="s">
        <v>2333</v>
      </c>
      <c r="S117" s="21" t="s">
        <v>396</v>
      </c>
      <c r="T117" s="21" t="s">
        <v>397</v>
      </c>
      <c r="U117" s="21" t="s">
        <v>681</v>
      </c>
      <c r="V117" s="21" t="s">
        <v>370</v>
      </c>
      <c r="W117" s="21" t="s">
        <v>2057</v>
      </c>
      <c r="X117" s="21" t="s">
        <v>375</v>
      </c>
      <c r="Z117">
        <v>0</v>
      </c>
      <c r="AA117">
        <v>0</v>
      </c>
    </row>
    <row r="118" spans="1:27" x14ac:dyDescent="0.25">
      <c r="A118" s="21" t="s">
        <v>364</v>
      </c>
      <c r="B118" s="21" t="s">
        <v>315</v>
      </c>
      <c r="C118" s="21" t="s">
        <v>315</v>
      </c>
      <c r="D118" s="21" t="s">
        <v>218</v>
      </c>
      <c r="E118" s="21" t="s">
        <v>218</v>
      </c>
      <c r="F118" s="21" t="s">
        <v>2024</v>
      </c>
      <c r="G118" s="21" t="s">
        <v>2025</v>
      </c>
      <c r="H118" s="21" t="s">
        <v>596</v>
      </c>
      <c r="I118" s="21" t="s">
        <v>741</v>
      </c>
      <c r="J118" s="62">
        <v>44593</v>
      </c>
      <c r="K118" s="62">
        <v>44593</v>
      </c>
      <c r="L118" s="62">
        <v>22585</v>
      </c>
      <c r="M118" s="21" t="s">
        <v>319</v>
      </c>
      <c r="N118" s="21" t="s">
        <v>218</v>
      </c>
      <c r="O118" s="63">
        <v>175.01</v>
      </c>
      <c r="P118" s="21" t="s">
        <v>342</v>
      </c>
      <c r="Q118" s="21" t="s">
        <v>317</v>
      </c>
      <c r="R118" s="21" t="s">
        <v>2026</v>
      </c>
      <c r="S118" s="21" t="s">
        <v>2027</v>
      </c>
      <c r="T118" s="21" t="s">
        <v>2028</v>
      </c>
      <c r="U118" s="21" t="s">
        <v>2029</v>
      </c>
      <c r="V118" s="21" t="s">
        <v>326</v>
      </c>
      <c r="W118" s="21" t="s">
        <v>2030</v>
      </c>
      <c r="X118" s="21" t="s">
        <v>375</v>
      </c>
      <c r="Z118">
        <v>0</v>
      </c>
      <c r="AA118">
        <v>0</v>
      </c>
    </row>
    <row r="119" spans="1:27" x14ac:dyDescent="0.25">
      <c r="A119" s="21" t="s">
        <v>364</v>
      </c>
      <c r="B119" s="21" t="s">
        <v>315</v>
      </c>
      <c r="C119" s="21" t="s">
        <v>315</v>
      </c>
      <c r="D119" s="21" t="s">
        <v>240</v>
      </c>
      <c r="E119" s="21" t="s">
        <v>2166</v>
      </c>
      <c r="F119" s="21" t="s">
        <v>2167</v>
      </c>
      <c r="G119" s="21" t="s">
        <v>2168</v>
      </c>
      <c r="H119" s="21" t="s">
        <v>2165</v>
      </c>
      <c r="I119" s="21" t="s">
        <v>2169</v>
      </c>
      <c r="J119" s="62">
        <v>45065</v>
      </c>
      <c r="K119" s="62">
        <v>45065</v>
      </c>
      <c r="L119" s="62">
        <v>29113</v>
      </c>
      <c r="M119" s="21" t="s">
        <v>319</v>
      </c>
      <c r="N119" s="21" t="s">
        <v>240</v>
      </c>
      <c r="O119" s="63">
        <v>65000</v>
      </c>
      <c r="P119" s="21" t="s">
        <v>1736</v>
      </c>
      <c r="Q119" s="21" t="s">
        <v>719</v>
      </c>
      <c r="R119" s="21" t="s">
        <v>2170</v>
      </c>
      <c r="S119" s="21" t="s">
        <v>1162</v>
      </c>
      <c r="T119" s="21" t="s">
        <v>1163</v>
      </c>
      <c r="U119" s="21" t="s">
        <v>238</v>
      </c>
      <c r="V119" s="21" t="s">
        <v>326</v>
      </c>
      <c r="W119" s="21" t="s">
        <v>2171</v>
      </c>
      <c r="X119" s="21" t="s">
        <v>375</v>
      </c>
      <c r="Z119">
        <v>0</v>
      </c>
      <c r="AA119">
        <v>0</v>
      </c>
    </row>
    <row r="120" spans="1:27" x14ac:dyDescent="0.25">
      <c r="A120" s="21" t="s">
        <v>314</v>
      </c>
      <c r="B120" s="21" t="s">
        <v>315</v>
      </c>
      <c r="C120" s="21" t="s">
        <v>315</v>
      </c>
      <c r="D120" s="21" t="s">
        <v>240</v>
      </c>
      <c r="E120" s="21" t="s">
        <v>226</v>
      </c>
      <c r="F120" s="21" t="s">
        <v>1269</v>
      </c>
      <c r="G120" s="21" t="s">
        <v>1270</v>
      </c>
      <c r="H120" s="21" t="s">
        <v>725</v>
      </c>
      <c r="I120" s="21" t="s">
        <v>1271</v>
      </c>
      <c r="J120" s="62">
        <v>45999</v>
      </c>
      <c r="K120" s="62">
        <v>45999</v>
      </c>
      <c r="L120" s="62">
        <v>29242</v>
      </c>
      <c r="M120" s="21" t="s">
        <v>319</v>
      </c>
      <c r="N120" s="21" t="s">
        <v>240</v>
      </c>
      <c r="O120" s="63">
        <v>64350</v>
      </c>
      <c r="P120" s="21" t="s">
        <v>708</v>
      </c>
      <c r="Q120" s="21" t="s">
        <v>1272</v>
      </c>
      <c r="R120" s="21" t="s">
        <v>1273</v>
      </c>
      <c r="S120" s="21" t="s">
        <v>1274</v>
      </c>
      <c r="T120" s="21" t="s">
        <v>1275</v>
      </c>
      <c r="U120" s="21" t="s">
        <v>1276</v>
      </c>
      <c r="V120" s="21" t="s">
        <v>666</v>
      </c>
      <c r="W120" s="21" t="s">
        <v>1277</v>
      </c>
      <c r="X120" s="21" t="s">
        <v>375</v>
      </c>
      <c r="Z120">
        <v>0</v>
      </c>
      <c r="AA120">
        <v>0</v>
      </c>
    </row>
    <row r="121" spans="1:27" x14ac:dyDescent="0.25">
      <c r="A121" s="21" t="s">
        <v>444</v>
      </c>
      <c r="B121" s="21" t="s">
        <v>315</v>
      </c>
      <c r="C121" s="21" t="s">
        <v>315</v>
      </c>
      <c r="D121" s="21" t="s">
        <v>240</v>
      </c>
      <c r="E121" s="21" t="s">
        <v>226</v>
      </c>
      <c r="F121" s="21" t="s">
        <v>1416</v>
      </c>
      <c r="G121" s="21" t="s">
        <v>1417</v>
      </c>
      <c r="H121" s="21" t="s">
        <v>1418</v>
      </c>
      <c r="I121" s="21" t="s">
        <v>731</v>
      </c>
      <c r="J121" s="62">
        <v>45429</v>
      </c>
      <c r="K121" s="62">
        <v>45429</v>
      </c>
      <c r="L121" s="62">
        <v>32940</v>
      </c>
      <c r="M121" s="21" t="s">
        <v>319</v>
      </c>
      <c r="N121" s="21" t="s">
        <v>240</v>
      </c>
      <c r="O121" s="63">
        <v>67925</v>
      </c>
      <c r="P121" s="21" t="s">
        <v>478</v>
      </c>
      <c r="Q121" s="21" t="s">
        <v>734</v>
      </c>
      <c r="R121" s="21"/>
      <c r="S121" s="21" t="s">
        <v>1419</v>
      </c>
      <c r="T121" s="21" t="s">
        <v>1420</v>
      </c>
      <c r="U121" s="21" t="s">
        <v>1421</v>
      </c>
      <c r="V121" s="21" t="s">
        <v>326</v>
      </c>
      <c r="W121" s="21" t="s">
        <v>1422</v>
      </c>
      <c r="X121" s="21" t="s">
        <v>328</v>
      </c>
      <c r="Z121">
        <v>0</v>
      </c>
      <c r="AA121">
        <v>0</v>
      </c>
    </row>
    <row r="122" spans="1:27" x14ac:dyDescent="0.25">
      <c r="A122" s="21" t="s">
        <v>337</v>
      </c>
      <c r="B122" s="21" t="s">
        <v>315</v>
      </c>
      <c r="C122" s="21" t="s">
        <v>315</v>
      </c>
      <c r="D122" s="21" t="s">
        <v>225</v>
      </c>
      <c r="E122" s="21" t="s">
        <v>225</v>
      </c>
      <c r="F122" s="21" t="s">
        <v>1185</v>
      </c>
      <c r="G122" s="21" t="s">
        <v>1186</v>
      </c>
      <c r="H122" s="21" t="s">
        <v>1187</v>
      </c>
      <c r="I122" s="21" t="s">
        <v>1188</v>
      </c>
      <c r="J122" s="62">
        <v>44993</v>
      </c>
      <c r="K122" s="62">
        <v>44993</v>
      </c>
      <c r="L122" s="62">
        <v>28934</v>
      </c>
      <c r="M122" s="21" t="s">
        <v>341</v>
      </c>
      <c r="N122" s="21" t="s">
        <v>225</v>
      </c>
      <c r="O122" s="63">
        <v>177.58</v>
      </c>
      <c r="P122" s="21" t="s">
        <v>440</v>
      </c>
      <c r="Q122" s="21" t="s">
        <v>360</v>
      </c>
      <c r="R122" s="21" t="s">
        <v>1189</v>
      </c>
      <c r="S122" s="21" t="s">
        <v>684</v>
      </c>
      <c r="T122" s="21" t="s">
        <v>685</v>
      </c>
      <c r="U122" s="21" t="s">
        <v>225</v>
      </c>
      <c r="V122" s="21" t="s">
        <v>326</v>
      </c>
      <c r="W122" s="21" t="s">
        <v>1190</v>
      </c>
      <c r="X122" s="21" t="s">
        <v>375</v>
      </c>
      <c r="Z122">
        <v>0</v>
      </c>
      <c r="AA122">
        <v>0</v>
      </c>
    </row>
    <row r="123" spans="1:27" x14ac:dyDescent="0.25">
      <c r="A123" s="21" t="s">
        <v>337</v>
      </c>
      <c r="B123" s="21" t="s">
        <v>315</v>
      </c>
      <c r="C123" s="21" t="s">
        <v>315</v>
      </c>
      <c r="D123" s="21" t="s">
        <v>228</v>
      </c>
      <c r="E123" s="21" t="s">
        <v>225</v>
      </c>
      <c r="F123" s="21" t="s">
        <v>1827</v>
      </c>
      <c r="G123" s="21" t="s">
        <v>1828</v>
      </c>
      <c r="H123" s="21" t="s">
        <v>745</v>
      </c>
      <c r="I123" s="21" t="s">
        <v>1829</v>
      </c>
      <c r="J123" s="62">
        <v>45015</v>
      </c>
      <c r="K123" s="62">
        <v>45015</v>
      </c>
      <c r="L123" s="62">
        <v>27371</v>
      </c>
      <c r="M123" s="21" t="s">
        <v>341</v>
      </c>
      <c r="N123" s="21" t="s">
        <v>228</v>
      </c>
      <c r="O123" s="63">
        <v>158.05000000000001</v>
      </c>
      <c r="P123" s="21" t="s">
        <v>1830</v>
      </c>
      <c r="Q123" s="21" t="s">
        <v>317</v>
      </c>
      <c r="R123" s="21"/>
      <c r="S123" s="21" t="s">
        <v>684</v>
      </c>
      <c r="T123" s="21" t="s">
        <v>685</v>
      </c>
      <c r="U123" s="21" t="s">
        <v>225</v>
      </c>
      <c r="V123" s="21" t="s">
        <v>326</v>
      </c>
      <c r="W123" s="21" t="s">
        <v>1831</v>
      </c>
      <c r="X123" s="21" t="s">
        <v>375</v>
      </c>
      <c r="Z123">
        <v>0</v>
      </c>
      <c r="AA123">
        <v>0</v>
      </c>
    </row>
    <row r="124" spans="1:27" x14ac:dyDescent="0.25">
      <c r="A124" s="21" t="s">
        <v>337</v>
      </c>
      <c r="B124" s="21" t="s">
        <v>315</v>
      </c>
      <c r="C124" s="21" t="s">
        <v>315</v>
      </c>
      <c r="D124" s="21" t="s">
        <v>240</v>
      </c>
      <c r="E124" s="21" t="s">
        <v>215</v>
      </c>
      <c r="F124" s="21" t="s">
        <v>1176</v>
      </c>
      <c r="G124" s="21" t="s">
        <v>1177</v>
      </c>
      <c r="H124" s="21" t="s">
        <v>1178</v>
      </c>
      <c r="I124" s="21" t="s">
        <v>1179</v>
      </c>
      <c r="J124" s="62">
        <v>45968</v>
      </c>
      <c r="K124" s="62">
        <v>45968</v>
      </c>
      <c r="L124" s="62">
        <v>29853</v>
      </c>
      <c r="M124" s="21" t="s">
        <v>341</v>
      </c>
      <c r="N124" s="21" t="s">
        <v>240</v>
      </c>
      <c r="O124" s="63">
        <v>58987.5</v>
      </c>
      <c r="P124" s="21" t="s">
        <v>708</v>
      </c>
      <c r="Q124" s="21" t="s">
        <v>473</v>
      </c>
      <c r="R124" s="21" t="s">
        <v>1180</v>
      </c>
      <c r="S124" s="21" t="s">
        <v>1181</v>
      </c>
      <c r="T124" s="21" t="s">
        <v>1182</v>
      </c>
      <c r="U124" s="21" t="s">
        <v>1183</v>
      </c>
      <c r="V124" s="21" t="s">
        <v>326</v>
      </c>
      <c r="W124" s="21" t="s">
        <v>1184</v>
      </c>
      <c r="X124" s="21" t="s">
        <v>328</v>
      </c>
      <c r="Z124">
        <v>0</v>
      </c>
      <c r="AA124">
        <v>0</v>
      </c>
    </row>
    <row r="125" spans="1:27" x14ac:dyDescent="0.25">
      <c r="A125" s="21" t="s">
        <v>444</v>
      </c>
      <c r="B125" s="21" t="s">
        <v>315</v>
      </c>
      <c r="C125" s="21" t="s">
        <v>315</v>
      </c>
      <c r="D125" s="21" t="s">
        <v>240</v>
      </c>
      <c r="E125" s="21" t="s">
        <v>215</v>
      </c>
      <c r="F125" s="21" t="s">
        <v>1483</v>
      </c>
      <c r="G125" s="21" t="s">
        <v>1484</v>
      </c>
      <c r="H125" s="21" t="s">
        <v>438</v>
      </c>
      <c r="I125" s="21" t="s">
        <v>1485</v>
      </c>
      <c r="J125" s="62">
        <v>42265</v>
      </c>
      <c r="K125" s="62">
        <v>42265</v>
      </c>
      <c r="L125" s="62">
        <v>30123</v>
      </c>
      <c r="M125" s="21" t="s">
        <v>341</v>
      </c>
      <c r="N125" s="21" t="s">
        <v>240</v>
      </c>
      <c r="O125" s="63">
        <v>65065</v>
      </c>
      <c r="P125" s="21" t="s">
        <v>708</v>
      </c>
      <c r="Q125" s="21" t="s">
        <v>321</v>
      </c>
      <c r="R125" s="21"/>
      <c r="S125" s="21" t="s">
        <v>1181</v>
      </c>
      <c r="T125" s="21" t="s">
        <v>1182</v>
      </c>
      <c r="U125" s="21" t="s">
        <v>1486</v>
      </c>
      <c r="V125" s="21" t="s">
        <v>370</v>
      </c>
      <c r="W125" s="21" t="s">
        <v>1487</v>
      </c>
      <c r="X125" s="21" t="s">
        <v>328</v>
      </c>
      <c r="Z125">
        <v>0</v>
      </c>
      <c r="AA125">
        <v>0</v>
      </c>
    </row>
    <row r="126" spans="1:27" x14ac:dyDescent="0.25">
      <c r="A126" s="21" t="s">
        <v>364</v>
      </c>
      <c r="B126" s="21" t="s">
        <v>315</v>
      </c>
      <c r="C126" s="21" t="s">
        <v>315</v>
      </c>
      <c r="D126" s="21" t="s">
        <v>240</v>
      </c>
      <c r="E126" s="21" t="s">
        <v>205</v>
      </c>
      <c r="F126" s="21" t="s">
        <v>1429</v>
      </c>
      <c r="G126" s="21" t="s">
        <v>1430</v>
      </c>
      <c r="H126" s="21" t="s">
        <v>867</v>
      </c>
      <c r="I126" s="21" t="s">
        <v>1431</v>
      </c>
      <c r="J126" s="62">
        <v>43682</v>
      </c>
      <c r="K126" s="62">
        <v>43682</v>
      </c>
      <c r="L126" s="62">
        <v>30191</v>
      </c>
      <c r="M126" s="21" t="s">
        <v>319</v>
      </c>
      <c r="N126" s="21" t="s">
        <v>240</v>
      </c>
      <c r="O126" s="63">
        <v>70000</v>
      </c>
      <c r="P126" s="21" t="s">
        <v>1432</v>
      </c>
      <c r="Q126" s="21" t="s">
        <v>665</v>
      </c>
      <c r="R126" s="21"/>
      <c r="S126" s="21" t="s">
        <v>1162</v>
      </c>
      <c r="T126" s="21" t="s">
        <v>1163</v>
      </c>
      <c r="U126" s="21" t="s">
        <v>219</v>
      </c>
      <c r="V126" s="21" t="s">
        <v>326</v>
      </c>
      <c r="W126" s="21" t="s">
        <v>1433</v>
      </c>
      <c r="X126" s="21" t="s">
        <v>328</v>
      </c>
      <c r="Z126">
        <v>0</v>
      </c>
      <c r="AA126">
        <v>0</v>
      </c>
    </row>
    <row r="127" spans="1:27" x14ac:dyDescent="0.25">
      <c r="A127" s="21" t="s">
        <v>314</v>
      </c>
      <c r="B127" s="21" t="s">
        <v>315</v>
      </c>
      <c r="C127" s="21" t="s">
        <v>315</v>
      </c>
      <c r="D127" s="21" t="s">
        <v>240</v>
      </c>
      <c r="E127" s="21" t="s">
        <v>205</v>
      </c>
      <c r="F127" s="21" t="s">
        <v>1580</v>
      </c>
      <c r="G127" s="21" t="s">
        <v>1581</v>
      </c>
      <c r="H127" s="21" t="s">
        <v>404</v>
      </c>
      <c r="I127" s="21" t="s">
        <v>738</v>
      </c>
      <c r="J127" s="62">
        <v>46071</v>
      </c>
      <c r="K127" s="62">
        <v>46071</v>
      </c>
      <c r="L127" s="62">
        <v>30214</v>
      </c>
      <c r="M127" s="21" t="s">
        <v>319</v>
      </c>
      <c r="N127" s="21" t="s">
        <v>240</v>
      </c>
      <c r="O127" s="63">
        <v>65000</v>
      </c>
      <c r="P127" s="21" t="s">
        <v>460</v>
      </c>
      <c r="Q127" s="21" t="s">
        <v>476</v>
      </c>
      <c r="R127" s="21" t="s">
        <v>1582</v>
      </c>
      <c r="S127" s="21" t="s">
        <v>1162</v>
      </c>
      <c r="T127" s="21" t="s">
        <v>1163</v>
      </c>
      <c r="U127" s="21" t="s">
        <v>1164</v>
      </c>
      <c r="V127" s="21" t="s">
        <v>370</v>
      </c>
      <c r="W127" s="21" t="s">
        <v>1583</v>
      </c>
      <c r="X127" s="21" t="s">
        <v>328</v>
      </c>
      <c r="Z127">
        <v>0</v>
      </c>
      <c r="AA127">
        <v>0</v>
      </c>
    </row>
    <row r="128" spans="1:27" x14ac:dyDescent="0.25">
      <c r="A128" s="21" t="s">
        <v>337</v>
      </c>
      <c r="B128" s="21" t="s">
        <v>315</v>
      </c>
      <c r="C128" s="21" t="s">
        <v>315</v>
      </c>
      <c r="D128" s="21" t="s">
        <v>240</v>
      </c>
      <c r="E128" s="21" t="s">
        <v>205</v>
      </c>
      <c r="F128" s="21" t="s">
        <v>1885</v>
      </c>
      <c r="G128" s="21" t="s">
        <v>1886</v>
      </c>
      <c r="H128" s="21" t="s">
        <v>321</v>
      </c>
      <c r="I128" s="21" t="s">
        <v>1887</v>
      </c>
      <c r="J128" s="62">
        <v>42219</v>
      </c>
      <c r="K128" s="62">
        <v>42219</v>
      </c>
      <c r="L128" s="62">
        <v>32147</v>
      </c>
      <c r="M128" s="21" t="s">
        <v>319</v>
      </c>
      <c r="N128" s="21" t="s">
        <v>240</v>
      </c>
      <c r="O128" s="63">
        <v>65000</v>
      </c>
      <c r="P128" s="21" t="s">
        <v>475</v>
      </c>
      <c r="Q128" s="21" t="s">
        <v>709</v>
      </c>
      <c r="R128" s="21"/>
      <c r="S128" s="21" t="s">
        <v>1162</v>
      </c>
      <c r="T128" s="21" t="s">
        <v>1163</v>
      </c>
      <c r="U128" s="21" t="s">
        <v>1164</v>
      </c>
      <c r="V128" s="21" t="s">
        <v>370</v>
      </c>
      <c r="W128" s="21" t="s">
        <v>1888</v>
      </c>
      <c r="X128" s="21" t="s">
        <v>328</v>
      </c>
      <c r="Z128">
        <v>0</v>
      </c>
      <c r="AA128">
        <v>0</v>
      </c>
    </row>
    <row r="129" spans="1:27" x14ac:dyDescent="0.25">
      <c r="A129" s="21" t="s">
        <v>337</v>
      </c>
      <c r="B129" s="21" t="s">
        <v>315</v>
      </c>
      <c r="C129" s="21" t="s">
        <v>315</v>
      </c>
      <c r="D129" s="21" t="s">
        <v>240</v>
      </c>
      <c r="E129" s="21" t="s">
        <v>205</v>
      </c>
      <c r="F129" s="21" t="s">
        <v>1893</v>
      </c>
      <c r="G129" s="21" t="s">
        <v>1894</v>
      </c>
      <c r="H129" s="21" t="s">
        <v>321</v>
      </c>
      <c r="I129" s="21" t="s">
        <v>1895</v>
      </c>
      <c r="J129" s="62">
        <v>44993</v>
      </c>
      <c r="K129" s="62">
        <v>44993</v>
      </c>
      <c r="L129" s="62">
        <v>27760</v>
      </c>
      <c r="M129" s="21" t="s">
        <v>319</v>
      </c>
      <c r="N129" s="21" t="s">
        <v>240</v>
      </c>
      <c r="O129" s="63">
        <v>45000</v>
      </c>
      <c r="P129" s="21" t="s">
        <v>697</v>
      </c>
      <c r="Q129" s="21" t="s">
        <v>380</v>
      </c>
      <c r="R129" s="21" t="s">
        <v>1896</v>
      </c>
      <c r="S129" s="21" t="s">
        <v>1162</v>
      </c>
      <c r="T129" s="21" t="s">
        <v>1163</v>
      </c>
      <c r="U129" s="21" t="s">
        <v>1897</v>
      </c>
      <c r="V129" s="21" t="s">
        <v>666</v>
      </c>
      <c r="W129" s="21" t="s">
        <v>1898</v>
      </c>
      <c r="X129" s="21" t="s">
        <v>375</v>
      </c>
      <c r="Z129">
        <v>0</v>
      </c>
      <c r="AA129">
        <v>0</v>
      </c>
    </row>
    <row r="130" spans="1:27" x14ac:dyDescent="0.25">
      <c r="A130" s="21" t="s">
        <v>502</v>
      </c>
      <c r="B130" s="21" t="s">
        <v>315</v>
      </c>
      <c r="C130" s="21" t="s">
        <v>315</v>
      </c>
      <c r="D130" s="21" t="s">
        <v>240</v>
      </c>
      <c r="E130" s="21" t="s">
        <v>205</v>
      </c>
      <c r="F130" s="21" t="s">
        <v>1990</v>
      </c>
      <c r="G130" s="21" t="s">
        <v>1991</v>
      </c>
      <c r="H130" s="21" t="s">
        <v>665</v>
      </c>
      <c r="I130" s="21" t="s">
        <v>1992</v>
      </c>
      <c r="J130" s="62">
        <v>44622</v>
      </c>
      <c r="K130" s="62">
        <v>44622</v>
      </c>
      <c r="L130" s="62">
        <v>30980</v>
      </c>
      <c r="M130" s="21" t="s">
        <v>319</v>
      </c>
      <c r="N130" s="21" t="s">
        <v>240</v>
      </c>
      <c r="O130" s="63">
        <v>65000</v>
      </c>
      <c r="P130" s="21" t="s">
        <v>1681</v>
      </c>
      <c r="Q130" s="21" t="s">
        <v>1993</v>
      </c>
      <c r="R130" s="21" t="s">
        <v>1994</v>
      </c>
      <c r="S130" s="21" t="s">
        <v>1162</v>
      </c>
      <c r="T130" s="21" t="s">
        <v>1163</v>
      </c>
      <c r="U130" s="21" t="s">
        <v>1164</v>
      </c>
      <c r="V130" s="21" t="s">
        <v>326</v>
      </c>
      <c r="W130" s="21" t="s">
        <v>1995</v>
      </c>
      <c r="X130" s="21" t="s">
        <v>328</v>
      </c>
      <c r="Z130">
        <v>0</v>
      </c>
      <c r="AA130">
        <v>0</v>
      </c>
    </row>
    <row r="131" spans="1:27" x14ac:dyDescent="0.25">
      <c r="A131" s="21" t="s">
        <v>314</v>
      </c>
      <c r="B131" s="21" t="s">
        <v>315</v>
      </c>
      <c r="C131" s="21" t="s">
        <v>315</v>
      </c>
      <c r="D131" s="21" t="s">
        <v>240</v>
      </c>
      <c r="E131" s="21" t="s">
        <v>205</v>
      </c>
      <c r="F131" s="21" t="s">
        <v>2114</v>
      </c>
      <c r="G131" s="21" t="s">
        <v>2115</v>
      </c>
      <c r="H131" s="21" t="s">
        <v>1067</v>
      </c>
      <c r="I131" s="21" t="s">
        <v>730</v>
      </c>
      <c r="J131" s="62">
        <v>41227</v>
      </c>
      <c r="K131" s="62">
        <v>41227</v>
      </c>
      <c r="L131" s="62">
        <v>31710</v>
      </c>
      <c r="M131" s="21" t="s">
        <v>319</v>
      </c>
      <c r="N131" s="21" t="s">
        <v>240</v>
      </c>
      <c r="O131" s="63">
        <v>61750</v>
      </c>
      <c r="P131" s="21" t="s">
        <v>2116</v>
      </c>
      <c r="Q131" s="21" t="s">
        <v>350</v>
      </c>
      <c r="R131" s="21"/>
      <c r="S131" s="21" t="s">
        <v>1162</v>
      </c>
      <c r="T131" s="21" t="s">
        <v>1163</v>
      </c>
      <c r="U131" s="21" t="s">
        <v>1164</v>
      </c>
      <c r="V131" s="21" t="s">
        <v>370</v>
      </c>
      <c r="W131" s="21" t="s">
        <v>2117</v>
      </c>
      <c r="X131" s="21" t="s">
        <v>328</v>
      </c>
      <c r="Z131">
        <v>0</v>
      </c>
      <c r="AA131">
        <v>0</v>
      </c>
    </row>
    <row r="132" spans="1:27" x14ac:dyDescent="0.25">
      <c r="A132" s="21" t="s">
        <v>329</v>
      </c>
      <c r="B132" s="21" t="s">
        <v>315</v>
      </c>
      <c r="C132" s="21" t="s">
        <v>315</v>
      </c>
      <c r="D132" s="21" t="s">
        <v>228</v>
      </c>
      <c r="E132" s="21" t="s">
        <v>216</v>
      </c>
      <c r="F132" s="21" t="s">
        <v>1408</v>
      </c>
      <c r="G132" s="21" t="s">
        <v>1409</v>
      </c>
      <c r="H132" s="21" t="s">
        <v>861</v>
      </c>
      <c r="I132" s="21" t="s">
        <v>1410</v>
      </c>
      <c r="J132" s="62">
        <v>45558</v>
      </c>
      <c r="K132" s="62">
        <v>45558</v>
      </c>
      <c r="L132" s="62">
        <v>32055</v>
      </c>
      <c r="M132" s="21" t="s">
        <v>319</v>
      </c>
      <c r="N132" s="21" t="s">
        <v>228</v>
      </c>
      <c r="O132" s="63">
        <v>120000</v>
      </c>
      <c r="P132" s="21" t="s">
        <v>1411</v>
      </c>
      <c r="Q132" s="21" t="s">
        <v>1412</v>
      </c>
      <c r="R132" s="21" t="s">
        <v>1413</v>
      </c>
      <c r="S132" s="21" t="s">
        <v>1162</v>
      </c>
      <c r="T132" s="21" t="s">
        <v>1163</v>
      </c>
      <c r="U132" s="21" t="s">
        <v>1414</v>
      </c>
      <c r="V132" s="21" t="s">
        <v>370</v>
      </c>
      <c r="W132" s="21" t="s">
        <v>1415</v>
      </c>
      <c r="X132" s="21" t="s">
        <v>328</v>
      </c>
      <c r="Z132">
        <v>0</v>
      </c>
      <c r="AA132">
        <v>0</v>
      </c>
    </row>
    <row r="133" spans="1:27" x14ac:dyDescent="0.25">
      <c r="A133" s="21" t="s">
        <v>329</v>
      </c>
      <c r="B133" s="21" t="s">
        <v>315</v>
      </c>
      <c r="C133" s="21" t="s">
        <v>315</v>
      </c>
      <c r="D133" s="21" t="s">
        <v>228</v>
      </c>
      <c r="E133" s="21" t="s">
        <v>216</v>
      </c>
      <c r="F133" s="21" t="s">
        <v>1640</v>
      </c>
      <c r="G133" s="21" t="s">
        <v>1641</v>
      </c>
      <c r="H133" s="21" t="s">
        <v>473</v>
      </c>
      <c r="I133" s="21" t="s">
        <v>1642</v>
      </c>
      <c r="J133" s="62">
        <v>45936</v>
      </c>
      <c r="K133" s="62">
        <v>45936</v>
      </c>
      <c r="L133" s="62">
        <v>29276</v>
      </c>
      <c r="M133" s="21" t="s">
        <v>319</v>
      </c>
      <c r="N133" s="21" t="s">
        <v>228</v>
      </c>
      <c r="O133" s="63">
        <v>81250</v>
      </c>
      <c r="P133" s="21" t="s">
        <v>689</v>
      </c>
      <c r="Q133" s="21" t="s">
        <v>828</v>
      </c>
      <c r="R133" s="21" t="s">
        <v>1643</v>
      </c>
      <c r="S133" s="21" t="s">
        <v>1162</v>
      </c>
      <c r="T133" s="21" t="s">
        <v>1163</v>
      </c>
      <c r="U133" s="21" t="s">
        <v>1157</v>
      </c>
      <c r="V133" s="21" t="s">
        <v>370</v>
      </c>
      <c r="W133" s="21" t="s">
        <v>1644</v>
      </c>
      <c r="X133" s="21" t="s">
        <v>328</v>
      </c>
      <c r="Z133">
        <v>0</v>
      </c>
      <c r="AA133">
        <v>0</v>
      </c>
    </row>
    <row r="134" spans="1:27" x14ac:dyDescent="0.25">
      <c r="A134" s="21" t="s">
        <v>329</v>
      </c>
      <c r="B134" s="21" t="s">
        <v>315</v>
      </c>
      <c r="C134" s="21" t="s">
        <v>315</v>
      </c>
      <c r="D134" s="21" t="s">
        <v>228</v>
      </c>
      <c r="E134" s="21" t="s">
        <v>216</v>
      </c>
      <c r="F134" s="21" t="s">
        <v>1733</v>
      </c>
      <c r="G134" s="21" t="s">
        <v>1734</v>
      </c>
      <c r="H134" s="21" t="s">
        <v>588</v>
      </c>
      <c r="I134" s="21" t="s">
        <v>1735</v>
      </c>
      <c r="J134" s="62">
        <v>45509</v>
      </c>
      <c r="K134" s="62">
        <v>45509</v>
      </c>
      <c r="L134" s="62">
        <v>30835</v>
      </c>
      <c r="M134" s="21" t="s">
        <v>319</v>
      </c>
      <c r="N134" s="21" t="s">
        <v>228</v>
      </c>
      <c r="O134" s="63">
        <v>60000</v>
      </c>
      <c r="P134" s="21" t="s">
        <v>1736</v>
      </c>
      <c r="Q134" s="21" t="s">
        <v>826</v>
      </c>
      <c r="R134" s="21" t="s">
        <v>1737</v>
      </c>
      <c r="S134" s="21" t="s">
        <v>1162</v>
      </c>
      <c r="T134" s="21" t="s">
        <v>1163</v>
      </c>
      <c r="U134" s="21" t="s">
        <v>1164</v>
      </c>
      <c r="V134" s="21" t="s">
        <v>326</v>
      </c>
      <c r="W134" s="21" t="s">
        <v>1738</v>
      </c>
      <c r="X134" s="21" t="s">
        <v>328</v>
      </c>
      <c r="Z134">
        <v>0</v>
      </c>
      <c r="AA134">
        <v>0</v>
      </c>
    </row>
    <row r="135" spans="1:27" x14ac:dyDescent="0.25">
      <c r="A135" s="21" t="s">
        <v>329</v>
      </c>
      <c r="B135" s="21" t="s">
        <v>315</v>
      </c>
      <c r="C135" s="21" t="s">
        <v>315</v>
      </c>
      <c r="D135" s="21" t="s">
        <v>228</v>
      </c>
      <c r="E135" s="21" t="s">
        <v>216</v>
      </c>
      <c r="F135" s="21" t="s">
        <v>2010</v>
      </c>
      <c r="G135" s="21" t="s">
        <v>2011</v>
      </c>
      <c r="H135" s="21" t="s">
        <v>744</v>
      </c>
      <c r="I135" s="21" t="s">
        <v>2012</v>
      </c>
      <c r="J135" s="62">
        <v>45551</v>
      </c>
      <c r="K135" s="62">
        <v>45551</v>
      </c>
      <c r="L135" s="62">
        <v>29749</v>
      </c>
      <c r="M135" s="21" t="s">
        <v>319</v>
      </c>
      <c r="N135" s="21" t="s">
        <v>228</v>
      </c>
      <c r="O135" s="63">
        <v>75000</v>
      </c>
      <c r="P135" s="21" t="s">
        <v>2013</v>
      </c>
      <c r="Q135" s="21" t="s">
        <v>353</v>
      </c>
      <c r="R135" s="21" t="s">
        <v>2014</v>
      </c>
      <c r="S135" s="21" t="s">
        <v>1162</v>
      </c>
      <c r="T135" s="21" t="s">
        <v>1163</v>
      </c>
      <c r="U135" s="21" t="s">
        <v>1157</v>
      </c>
      <c r="V135" s="21" t="s">
        <v>355</v>
      </c>
      <c r="W135" s="21" t="s">
        <v>2015</v>
      </c>
      <c r="X135" s="21" t="s">
        <v>328</v>
      </c>
      <c r="Z135">
        <v>0</v>
      </c>
      <c r="AA135">
        <v>0</v>
      </c>
    </row>
    <row r="136" spans="1:27" x14ac:dyDescent="0.25">
      <c r="A136" s="21" t="s">
        <v>329</v>
      </c>
      <c r="B136" s="21" t="s">
        <v>315</v>
      </c>
      <c r="C136" s="21" t="s">
        <v>315</v>
      </c>
      <c r="D136" s="21" t="s">
        <v>228</v>
      </c>
      <c r="E136" s="21" t="s">
        <v>216</v>
      </c>
      <c r="F136" s="21" t="s">
        <v>2020</v>
      </c>
      <c r="G136" s="21" t="s">
        <v>2021</v>
      </c>
      <c r="H136" s="21" t="s">
        <v>596</v>
      </c>
      <c r="I136" s="21" t="s">
        <v>1692</v>
      </c>
      <c r="J136" s="62">
        <v>43003</v>
      </c>
      <c r="K136" s="62">
        <v>43003</v>
      </c>
      <c r="L136" s="62">
        <v>30686</v>
      </c>
      <c r="M136" s="21" t="s">
        <v>319</v>
      </c>
      <c r="N136" s="21" t="s">
        <v>228</v>
      </c>
      <c r="O136" s="63">
        <v>75000</v>
      </c>
      <c r="P136" s="21" t="s">
        <v>2022</v>
      </c>
      <c r="Q136" s="21" t="s">
        <v>660</v>
      </c>
      <c r="R136" s="21" t="s">
        <v>2334</v>
      </c>
      <c r="S136" s="21" t="s">
        <v>1162</v>
      </c>
      <c r="T136" s="21" t="s">
        <v>1163</v>
      </c>
      <c r="U136" s="21" t="s">
        <v>1164</v>
      </c>
      <c r="V136" s="21" t="s">
        <v>326</v>
      </c>
      <c r="W136" s="21" t="s">
        <v>2023</v>
      </c>
      <c r="X136" s="21" t="s">
        <v>328</v>
      </c>
      <c r="Z136">
        <v>0</v>
      </c>
      <c r="AA136">
        <v>0</v>
      </c>
    </row>
    <row r="137" spans="1:27" x14ac:dyDescent="0.25">
      <c r="A137" s="21" t="s">
        <v>364</v>
      </c>
      <c r="B137" s="21" t="s">
        <v>315</v>
      </c>
      <c r="C137" s="21" t="s">
        <v>315</v>
      </c>
      <c r="D137" s="21" t="s">
        <v>228</v>
      </c>
      <c r="E137" s="21" t="s">
        <v>216</v>
      </c>
      <c r="F137" s="21" t="s">
        <v>2126</v>
      </c>
      <c r="G137" s="21" t="s">
        <v>2127</v>
      </c>
      <c r="H137" s="21" t="s">
        <v>2128</v>
      </c>
      <c r="I137" s="21" t="s">
        <v>393</v>
      </c>
      <c r="J137" s="62">
        <v>46065</v>
      </c>
      <c r="K137" s="62">
        <v>46065</v>
      </c>
      <c r="L137" s="62">
        <v>27211</v>
      </c>
      <c r="M137" s="21" t="s">
        <v>319</v>
      </c>
      <c r="N137" s="21" t="s">
        <v>228</v>
      </c>
      <c r="O137" s="63">
        <v>70000</v>
      </c>
      <c r="P137" s="21" t="s">
        <v>478</v>
      </c>
      <c r="Q137" s="21" t="s">
        <v>531</v>
      </c>
      <c r="R137" s="21" t="s">
        <v>2129</v>
      </c>
      <c r="S137" s="21" t="s">
        <v>1162</v>
      </c>
      <c r="T137" s="21" t="s">
        <v>1163</v>
      </c>
      <c r="U137" s="21" t="s">
        <v>205</v>
      </c>
      <c r="V137" s="21" t="s">
        <v>355</v>
      </c>
      <c r="W137" s="21"/>
      <c r="X137" s="21" t="s">
        <v>375</v>
      </c>
      <c r="Z137">
        <v>0</v>
      </c>
      <c r="AA137">
        <v>0</v>
      </c>
    </row>
    <row r="138" spans="1:27" x14ac:dyDescent="0.25">
      <c r="A138" s="21" t="s">
        <v>337</v>
      </c>
      <c r="B138" s="21" t="s">
        <v>315</v>
      </c>
      <c r="C138" s="21" t="s">
        <v>315</v>
      </c>
      <c r="D138" s="21" t="s">
        <v>240</v>
      </c>
      <c r="E138" s="21" t="s">
        <v>221</v>
      </c>
      <c r="F138" s="21" t="s">
        <v>1613</v>
      </c>
      <c r="G138" s="21" t="s">
        <v>1614</v>
      </c>
      <c r="H138" s="21" t="s">
        <v>353</v>
      </c>
      <c r="I138" s="21" t="s">
        <v>733</v>
      </c>
      <c r="J138" s="62">
        <v>46023</v>
      </c>
      <c r="K138" s="62">
        <v>46023</v>
      </c>
      <c r="L138" s="62">
        <v>21186</v>
      </c>
      <c r="M138" s="21" t="s">
        <v>319</v>
      </c>
      <c r="N138" s="21" t="s">
        <v>240</v>
      </c>
      <c r="O138" s="63">
        <v>45000</v>
      </c>
      <c r="P138" s="21" t="s">
        <v>661</v>
      </c>
      <c r="Q138" s="21" t="s">
        <v>1615</v>
      </c>
      <c r="R138" s="21" t="s">
        <v>1616</v>
      </c>
      <c r="S138" s="21" t="s">
        <v>1617</v>
      </c>
      <c r="T138" s="21" t="s">
        <v>1618</v>
      </c>
      <c r="U138" s="21" t="s">
        <v>1619</v>
      </c>
      <c r="V138" s="21" t="s">
        <v>326</v>
      </c>
      <c r="W138" s="21" t="s">
        <v>1620</v>
      </c>
      <c r="X138" s="21" t="s">
        <v>375</v>
      </c>
      <c r="Z138">
        <v>0</v>
      </c>
      <c r="AA138">
        <v>0</v>
      </c>
    </row>
    <row r="139" spans="1:27" x14ac:dyDescent="0.25">
      <c r="A139" s="21" t="s">
        <v>444</v>
      </c>
      <c r="B139" s="21" t="s">
        <v>315</v>
      </c>
      <c r="C139" s="21" t="s">
        <v>315</v>
      </c>
      <c r="D139" s="21" t="s">
        <v>240</v>
      </c>
      <c r="E139" s="21" t="s">
        <v>221</v>
      </c>
      <c r="F139" s="21" t="s">
        <v>1910</v>
      </c>
      <c r="G139" s="21" t="s">
        <v>1911</v>
      </c>
      <c r="H139" s="21" t="s">
        <v>1912</v>
      </c>
      <c r="I139" s="21" t="s">
        <v>1913</v>
      </c>
      <c r="J139" s="62">
        <v>44690</v>
      </c>
      <c r="K139" s="62">
        <v>44690</v>
      </c>
      <c r="L139" s="62">
        <v>30166</v>
      </c>
      <c r="M139" s="21" t="s">
        <v>341</v>
      </c>
      <c r="N139" s="21" t="s">
        <v>240</v>
      </c>
      <c r="O139" s="63">
        <v>70000</v>
      </c>
      <c r="P139" s="21" t="s">
        <v>708</v>
      </c>
      <c r="Q139" s="21" t="s">
        <v>1914</v>
      </c>
      <c r="R139" s="21" t="s">
        <v>1915</v>
      </c>
      <c r="S139" s="21" t="s">
        <v>1916</v>
      </c>
      <c r="T139" s="21" t="s">
        <v>1917</v>
      </c>
      <c r="U139" s="21" t="s">
        <v>1918</v>
      </c>
      <c r="V139" s="21" t="s">
        <v>666</v>
      </c>
      <c r="W139" s="21" t="s">
        <v>1919</v>
      </c>
      <c r="X139" s="21" t="s">
        <v>328</v>
      </c>
      <c r="Z139">
        <v>0</v>
      </c>
      <c r="AA139">
        <v>0</v>
      </c>
    </row>
    <row r="140" spans="1:27" x14ac:dyDescent="0.25">
      <c r="A140" s="21" t="s">
        <v>329</v>
      </c>
      <c r="B140" s="21" t="s">
        <v>315</v>
      </c>
      <c r="C140" s="21" t="s">
        <v>315</v>
      </c>
      <c r="D140" s="21" t="s">
        <v>240</v>
      </c>
      <c r="E140" s="21" t="s">
        <v>221</v>
      </c>
      <c r="F140" s="21" t="s">
        <v>1937</v>
      </c>
      <c r="G140" s="21" t="s">
        <v>1938</v>
      </c>
      <c r="H140" s="21" t="s">
        <v>1939</v>
      </c>
      <c r="I140" s="21" t="s">
        <v>2337</v>
      </c>
      <c r="J140" s="62">
        <v>45159</v>
      </c>
      <c r="K140" s="62">
        <v>45159</v>
      </c>
      <c r="L140" s="62">
        <v>30241</v>
      </c>
      <c r="M140" s="21" t="s">
        <v>341</v>
      </c>
      <c r="N140" s="21" t="s">
        <v>240</v>
      </c>
      <c r="O140" s="63">
        <v>70000</v>
      </c>
      <c r="P140" s="21" t="s">
        <v>708</v>
      </c>
      <c r="Q140" s="21" t="s">
        <v>677</v>
      </c>
      <c r="R140" s="21" t="s">
        <v>1940</v>
      </c>
      <c r="S140" s="21" t="s">
        <v>1916</v>
      </c>
      <c r="T140" s="21" t="s">
        <v>1917</v>
      </c>
      <c r="U140" s="21" t="s">
        <v>1918</v>
      </c>
      <c r="V140" s="21" t="s">
        <v>666</v>
      </c>
      <c r="W140" s="21" t="s">
        <v>1941</v>
      </c>
      <c r="X140" s="21" t="s">
        <v>328</v>
      </c>
      <c r="Z140">
        <v>0</v>
      </c>
      <c r="AA140">
        <v>0</v>
      </c>
    </row>
    <row r="141" spans="1:27" x14ac:dyDescent="0.25">
      <c r="A141" s="21" t="s">
        <v>713</v>
      </c>
      <c r="B141" s="21" t="s">
        <v>315</v>
      </c>
      <c r="C141" s="21" t="s">
        <v>315</v>
      </c>
      <c r="D141" s="21" t="s">
        <v>240</v>
      </c>
      <c r="E141" s="21" t="s">
        <v>220</v>
      </c>
      <c r="F141" s="21" t="s">
        <v>1862</v>
      </c>
      <c r="G141" s="21" t="s">
        <v>1863</v>
      </c>
      <c r="H141" s="21" t="s">
        <v>533</v>
      </c>
      <c r="I141" s="21" t="s">
        <v>1864</v>
      </c>
      <c r="J141" s="62">
        <v>43045</v>
      </c>
      <c r="K141" s="62">
        <v>44256</v>
      </c>
      <c r="L141" s="62">
        <v>31095</v>
      </c>
      <c r="M141" s="21" t="s">
        <v>319</v>
      </c>
      <c r="N141" s="21" t="s">
        <v>240</v>
      </c>
      <c r="O141" s="63">
        <v>180000</v>
      </c>
      <c r="P141" s="21" t="s">
        <v>708</v>
      </c>
      <c r="Q141" s="21" t="s">
        <v>670</v>
      </c>
      <c r="R141" s="21"/>
      <c r="S141" s="21" t="s">
        <v>1865</v>
      </c>
      <c r="T141" s="21" t="s">
        <v>1866</v>
      </c>
      <c r="U141" s="21" t="s">
        <v>220</v>
      </c>
      <c r="V141" s="21" t="s">
        <v>326</v>
      </c>
      <c r="W141" s="21" t="s">
        <v>1867</v>
      </c>
      <c r="X141" s="21" t="s">
        <v>328</v>
      </c>
      <c r="Z141">
        <v>0</v>
      </c>
      <c r="AA141">
        <v>0</v>
      </c>
    </row>
    <row r="142" spans="1:27" x14ac:dyDescent="0.25">
      <c r="A142" s="21" t="s">
        <v>364</v>
      </c>
      <c r="B142" s="21" t="s">
        <v>315</v>
      </c>
      <c r="C142" s="21" t="s">
        <v>315</v>
      </c>
      <c r="D142" s="21" t="s">
        <v>203</v>
      </c>
      <c r="E142" s="21" t="s">
        <v>203</v>
      </c>
      <c r="F142" s="21" t="s">
        <v>1143</v>
      </c>
      <c r="G142" s="21" t="s">
        <v>1144</v>
      </c>
      <c r="H142" s="21" t="s">
        <v>531</v>
      </c>
      <c r="I142" s="21" t="s">
        <v>731</v>
      </c>
      <c r="J142" s="62">
        <v>45505</v>
      </c>
      <c r="K142" s="62">
        <v>45505</v>
      </c>
      <c r="L142" s="62">
        <v>30204</v>
      </c>
      <c r="M142" s="21" t="s">
        <v>319</v>
      </c>
      <c r="N142" s="21" t="s">
        <v>203</v>
      </c>
      <c r="O142" s="63">
        <v>183.46</v>
      </c>
      <c r="P142" s="21" t="s">
        <v>1145</v>
      </c>
      <c r="Q142" s="21" t="s">
        <v>1146</v>
      </c>
      <c r="R142" s="21" t="s">
        <v>1147</v>
      </c>
      <c r="S142" s="21" t="s">
        <v>770</v>
      </c>
      <c r="T142" s="21" t="s">
        <v>771</v>
      </c>
      <c r="U142" s="21" t="s">
        <v>772</v>
      </c>
      <c r="V142" s="21" t="s">
        <v>370</v>
      </c>
      <c r="W142" s="21" t="s">
        <v>1148</v>
      </c>
      <c r="X142" s="21" t="s">
        <v>328</v>
      </c>
      <c r="Z142">
        <v>0</v>
      </c>
      <c r="AA142">
        <v>0</v>
      </c>
    </row>
    <row r="143" spans="1:27" x14ac:dyDescent="0.25">
      <c r="A143" s="21" t="s">
        <v>337</v>
      </c>
      <c r="B143" s="21" t="s">
        <v>315</v>
      </c>
      <c r="C143" s="21" t="s">
        <v>315</v>
      </c>
      <c r="D143" s="21" t="s">
        <v>203</v>
      </c>
      <c r="E143" s="21" t="s">
        <v>203</v>
      </c>
      <c r="F143" s="21" t="s">
        <v>2395</v>
      </c>
      <c r="G143" s="21" t="s">
        <v>2396</v>
      </c>
      <c r="H143" s="21" t="s">
        <v>2397</v>
      </c>
      <c r="I143" s="21" t="s">
        <v>826</v>
      </c>
      <c r="J143" s="62">
        <v>46181</v>
      </c>
      <c r="K143" s="62">
        <v>46181</v>
      </c>
      <c r="L143" s="62">
        <v>28626</v>
      </c>
      <c r="M143" s="21" t="s">
        <v>319</v>
      </c>
      <c r="N143" s="21" t="s">
        <v>203</v>
      </c>
      <c r="O143" s="63">
        <v>183.46</v>
      </c>
      <c r="P143" s="21" t="s">
        <v>942</v>
      </c>
      <c r="Q143" s="21" t="s">
        <v>2149</v>
      </c>
      <c r="R143" s="21" t="s">
        <v>2398</v>
      </c>
      <c r="S143" s="21" t="s">
        <v>770</v>
      </c>
      <c r="T143" s="21" t="s">
        <v>771</v>
      </c>
      <c r="U143" s="21" t="s">
        <v>772</v>
      </c>
      <c r="V143" s="21" t="s">
        <v>326</v>
      </c>
      <c r="W143" s="21" t="s">
        <v>2399</v>
      </c>
      <c r="X143" s="21" t="s">
        <v>375</v>
      </c>
      <c r="Z143">
        <v>0</v>
      </c>
      <c r="AA143">
        <v>0</v>
      </c>
    </row>
    <row r="144" spans="1:27" x14ac:dyDescent="0.25">
      <c r="A144" s="21" t="s">
        <v>337</v>
      </c>
      <c r="B144" s="21" t="s">
        <v>315</v>
      </c>
      <c r="C144" s="21" t="s">
        <v>315</v>
      </c>
      <c r="D144" s="21" t="s">
        <v>240</v>
      </c>
      <c r="E144" s="21" t="s">
        <v>203</v>
      </c>
      <c r="F144" s="21" t="s">
        <v>2351</v>
      </c>
      <c r="G144" s="21" t="s">
        <v>1436</v>
      </c>
      <c r="H144" s="21" t="s">
        <v>867</v>
      </c>
      <c r="I144" s="21" t="s">
        <v>1437</v>
      </c>
      <c r="J144" s="62">
        <v>46143</v>
      </c>
      <c r="K144" s="62">
        <v>46143</v>
      </c>
      <c r="L144" s="62">
        <v>30992</v>
      </c>
      <c r="M144" s="21" t="s">
        <v>319</v>
      </c>
      <c r="N144" s="21" t="s">
        <v>240</v>
      </c>
      <c r="O144" s="63">
        <v>48260</v>
      </c>
      <c r="P144" s="21" t="s">
        <v>1438</v>
      </c>
      <c r="Q144" s="21" t="s">
        <v>531</v>
      </c>
      <c r="R144" s="21" t="s">
        <v>1439</v>
      </c>
      <c r="S144" s="21" t="s">
        <v>1440</v>
      </c>
      <c r="T144" s="21" t="s">
        <v>1441</v>
      </c>
      <c r="U144" s="21" t="s">
        <v>1442</v>
      </c>
      <c r="V144" s="21" t="s">
        <v>326</v>
      </c>
      <c r="W144" s="21" t="s">
        <v>1443</v>
      </c>
      <c r="X144" s="21" t="s">
        <v>328</v>
      </c>
      <c r="Z144">
        <v>0</v>
      </c>
      <c r="AA144">
        <v>0</v>
      </c>
    </row>
    <row r="145" spans="1:27" x14ac:dyDescent="0.25">
      <c r="A145" s="21" t="s">
        <v>314</v>
      </c>
      <c r="B145" s="21" t="s">
        <v>315</v>
      </c>
      <c r="C145" s="21" t="s">
        <v>315</v>
      </c>
      <c r="D145" s="21" t="s">
        <v>203</v>
      </c>
      <c r="E145" s="21" t="s">
        <v>203</v>
      </c>
      <c r="F145" s="21" t="s">
        <v>1729</v>
      </c>
      <c r="G145" s="21" t="s">
        <v>1730</v>
      </c>
      <c r="H145" s="21" t="s">
        <v>588</v>
      </c>
      <c r="I145" s="21" t="s">
        <v>587</v>
      </c>
      <c r="J145" s="62">
        <v>45335</v>
      </c>
      <c r="K145" s="62">
        <v>45335</v>
      </c>
      <c r="L145" s="62">
        <v>29007</v>
      </c>
      <c r="M145" s="21" t="s">
        <v>319</v>
      </c>
      <c r="N145" s="21" t="s">
        <v>203</v>
      </c>
      <c r="O145" s="63">
        <v>183.46</v>
      </c>
      <c r="P145" s="21" t="s">
        <v>478</v>
      </c>
      <c r="Q145" s="21" t="s">
        <v>428</v>
      </c>
      <c r="R145" s="21" t="s">
        <v>1731</v>
      </c>
      <c r="S145" s="21" t="s">
        <v>770</v>
      </c>
      <c r="T145" s="21" t="s">
        <v>771</v>
      </c>
      <c r="U145" s="21" t="s">
        <v>772</v>
      </c>
      <c r="V145" s="21" t="s">
        <v>326</v>
      </c>
      <c r="W145" s="21" t="s">
        <v>1732</v>
      </c>
      <c r="X145" s="21" t="s">
        <v>375</v>
      </c>
      <c r="Z145">
        <v>0</v>
      </c>
      <c r="AA145">
        <v>0</v>
      </c>
    </row>
    <row r="146" spans="1:27" x14ac:dyDescent="0.25">
      <c r="A146" s="21" t="s">
        <v>337</v>
      </c>
      <c r="B146" s="21" t="s">
        <v>315</v>
      </c>
      <c r="C146" s="21" t="s">
        <v>315</v>
      </c>
      <c r="D146" s="21" t="s">
        <v>240</v>
      </c>
      <c r="E146" s="21" t="s">
        <v>203</v>
      </c>
      <c r="F146" s="21" t="s">
        <v>1793</v>
      </c>
      <c r="G146" s="21" t="s">
        <v>1794</v>
      </c>
      <c r="H146" s="21" t="s">
        <v>493</v>
      </c>
      <c r="I146" s="21" t="s">
        <v>1795</v>
      </c>
      <c r="J146" s="62">
        <v>45187</v>
      </c>
      <c r="K146" s="62">
        <v>45187</v>
      </c>
      <c r="L146" s="62">
        <v>27581</v>
      </c>
      <c r="M146" s="21" t="s">
        <v>319</v>
      </c>
      <c r="N146" s="21" t="s">
        <v>240</v>
      </c>
      <c r="O146" s="63">
        <v>70000</v>
      </c>
      <c r="P146" s="21" t="s">
        <v>475</v>
      </c>
      <c r="Q146" s="21" t="s">
        <v>317</v>
      </c>
      <c r="R146" s="21" t="s">
        <v>1796</v>
      </c>
      <c r="S146" s="21" t="s">
        <v>1797</v>
      </c>
      <c r="T146" s="21" t="s">
        <v>1798</v>
      </c>
      <c r="U146" s="21" t="s">
        <v>1799</v>
      </c>
      <c r="V146" s="21" t="s">
        <v>326</v>
      </c>
      <c r="W146" s="21" t="s">
        <v>1800</v>
      </c>
      <c r="X146" s="21" t="s">
        <v>375</v>
      </c>
      <c r="Z146">
        <v>0</v>
      </c>
      <c r="AA146">
        <v>0</v>
      </c>
    </row>
    <row r="147" spans="1:27" x14ac:dyDescent="0.25">
      <c r="A147" s="21" t="s">
        <v>364</v>
      </c>
      <c r="B147" s="21" t="s">
        <v>315</v>
      </c>
      <c r="C147" s="21" t="s">
        <v>315</v>
      </c>
      <c r="D147" s="21" t="s">
        <v>203</v>
      </c>
      <c r="E147" s="21" t="s">
        <v>203</v>
      </c>
      <c r="F147" s="21" t="s">
        <v>1948</v>
      </c>
      <c r="G147" s="21" t="s">
        <v>1949</v>
      </c>
      <c r="H147" s="21" t="s">
        <v>1950</v>
      </c>
      <c r="I147" s="21" t="s">
        <v>880</v>
      </c>
      <c r="J147" s="62">
        <v>44996</v>
      </c>
      <c r="K147" s="62">
        <v>44996</v>
      </c>
      <c r="L147" s="62">
        <v>25995</v>
      </c>
      <c r="M147" s="21" t="s">
        <v>319</v>
      </c>
      <c r="N147" s="21" t="s">
        <v>203</v>
      </c>
      <c r="O147" s="63">
        <v>183.46</v>
      </c>
      <c r="P147" s="21" t="s">
        <v>1951</v>
      </c>
      <c r="Q147" s="21" t="s">
        <v>729</v>
      </c>
      <c r="R147" s="21" t="s">
        <v>1952</v>
      </c>
      <c r="S147" s="21" t="s">
        <v>1953</v>
      </c>
      <c r="T147" s="21" t="s">
        <v>1954</v>
      </c>
      <c r="U147" s="21" t="s">
        <v>772</v>
      </c>
      <c r="V147" s="21" t="s">
        <v>370</v>
      </c>
      <c r="W147" s="21" t="s">
        <v>1955</v>
      </c>
      <c r="X147" s="21" t="s">
        <v>375</v>
      </c>
      <c r="Z147">
        <v>0</v>
      </c>
      <c r="AA147">
        <v>0</v>
      </c>
    </row>
    <row r="148" spans="1:27" x14ac:dyDescent="0.25">
      <c r="A148" s="21" t="s">
        <v>329</v>
      </c>
      <c r="B148" s="21" t="s">
        <v>315</v>
      </c>
      <c r="C148" s="21" t="s">
        <v>315</v>
      </c>
      <c r="D148" s="21" t="s">
        <v>203</v>
      </c>
      <c r="E148" s="21" t="s">
        <v>203</v>
      </c>
      <c r="F148" s="21" t="s">
        <v>1976</v>
      </c>
      <c r="G148" s="21" t="s">
        <v>1977</v>
      </c>
      <c r="H148" s="21" t="s">
        <v>1423</v>
      </c>
      <c r="I148" s="21" t="s">
        <v>1978</v>
      </c>
      <c r="J148" s="62">
        <v>45497</v>
      </c>
      <c r="K148" s="62">
        <v>45497</v>
      </c>
      <c r="L148" s="62">
        <v>30682</v>
      </c>
      <c r="M148" s="21" t="s">
        <v>319</v>
      </c>
      <c r="N148" s="21" t="s">
        <v>203</v>
      </c>
      <c r="O148" s="63">
        <v>183.46</v>
      </c>
      <c r="P148" s="21" t="s">
        <v>1979</v>
      </c>
      <c r="Q148" s="21" t="s">
        <v>473</v>
      </c>
      <c r="R148" s="21" t="s">
        <v>1980</v>
      </c>
      <c r="S148" s="21" t="s">
        <v>770</v>
      </c>
      <c r="T148" s="21" t="s">
        <v>771</v>
      </c>
      <c r="U148" s="21" t="s">
        <v>772</v>
      </c>
      <c r="V148" s="21" t="s">
        <v>326</v>
      </c>
      <c r="W148" s="21" t="s">
        <v>1981</v>
      </c>
      <c r="X148" s="21" t="s">
        <v>328</v>
      </c>
      <c r="Z148">
        <v>0</v>
      </c>
      <c r="AA148">
        <v>0</v>
      </c>
    </row>
    <row r="149" spans="1:27" x14ac:dyDescent="0.25">
      <c r="A149" s="21" t="s">
        <v>364</v>
      </c>
      <c r="B149" s="21" t="s">
        <v>315</v>
      </c>
      <c r="C149" s="21" t="s">
        <v>315</v>
      </c>
      <c r="D149" s="21" t="s">
        <v>203</v>
      </c>
      <c r="E149" s="21" t="s">
        <v>203</v>
      </c>
      <c r="F149" s="21" t="s">
        <v>2090</v>
      </c>
      <c r="G149" s="21" t="s">
        <v>2091</v>
      </c>
      <c r="H149" s="21" t="s">
        <v>1062</v>
      </c>
      <c r="I149" s="21" t="s">
        <v>2092</v>
      </c>
      <c r="J149" s="62">
        <v>43525</v>
      </c>
      <c r="K149" s="62">
        <v>43525</v>
      </c>
      <c r="L149" s="62">
        <v>33785</v>
      </c>
      <c r="M149" s="21" t="s">
        <v>319</v>
      </c>
      <c r="N149" s="21" t="s">
        <v>203</v>
      </c>
      <c r="O149" s="63">
        <v>183.46</v>
      </c>
      <c r="P149" s="21" t="s">
        <v>557</v>
      </c>
      <c r="Q149" s="21" t="s">
        <v>634</v>
      </c>
      <c r="R149" s="21"/>
      <c r="S149" s="21" t="s">
        <v>1953</v>
      </c>
      <c r="T149" s="21" t="s">
        <v>1954</v>
      </c>
      <c r="U149" s="21" t="s">
        <v>772</v>
      </c>
      <c r="V149" s="21" t="s">
        <v>326</v>
      </c>
      <c r="W149" s="21" t="s">
        <v>2093</v>
      </c>
      <c r="X149" s="21" t="s">
        <v>328</v>
      </c>
      <c r="Z149">
        <v>0</v>
      </c>
      <c r="AA149">
        <v>0</v>
      </c>
    </row>
    <row r="150" spans="1:27" x14ac:dyDescent="0.25">
      <c r="A150" s="21" t="s">
        <v>329</v>
      </c>
      <c r="B150" s="21" t="s">
        <v>315</v>
      </c>
      <c r="C150" s="21" t="s">
        <v>315</v>
      </c>
      <c r="D150" s="21" t="s">
        <v>203</v>
      </c>
      <c r="E150" s="21" t="s">
        <v>203</v>
      </c>
      <c r="F150" s="21" t="s">
        <v>2118</v>
      </c>
      <c r="G150" s="21" t="s">
        <v>2119</v>
      </c>
      <c r="H150" s="21" t="s">
        <v>1067</v>
      </c>
      <c r="I150" s="21" t="s">
        <v>534</v>
      </c>
      <c r="J150" s="62">
        <v>44515</v>
      </c>
      <c r="K150" s="62">
        <v>44515</v>
      </c>
      <c r="L150" s="62">
        <v>29821</v>
      </c>
      <c r="M150" s="21" t="s">
        <v>319</v>
      </c>
      <c r="N150" s="21" t="s">
        <v>203</v>
      </c>
      <c r="O150" s="63">
        <v>183.46</v>
      </c>
      <c r="P150" s="21" t="s">
        <v>1011</v>
      </c>
      <c r="Q150" s="21" t="s">
        <v>675</v>
      </c>
      <c r="R150" s="21" t="s">
        <v>2120</v>
      </c>
      <c r="S150" s="21" t="s">
        <v>770</v>
      </c>
      <c r="T150" s="21" t="s">
        <v>771</v>
      </c>
      <c r="U150" s="21" t="s">
        <v>772</v>
      </c>
      <c r="V150" s="21" t="s">
        <v>326</v>
      </c>
      <c r="W150" s="21" t="s">
        <v>2121</v>
      </c>
      <c r="X150" s="21" t="s">
        <v>328</v>
      </c>
      <c r="Z150">
        <v>0</v>
      </c>
      <c r="AA150">
        <v>0</v>
      </c>
    </row>
    <row r="151" spans="1:27" x14ac:dyDescent="0.25">
      <c r="A151" s="21" t="s">
        <v>329</v>
      </c>
      <c r="B151" s="21" t="s">
        <v>315</v>
      </c>
      <c r="C151" s="21" t="s">
        <v>315</v>
      </c>
      <c r="D151" s="21" t="s">
        <v>203</v>
      </c>
      <c r="E151" s="21" t="s">
        <v>203</v>
      </c>
      <c r="F151" s="21" t="s">
        <v>2222</v>
      </c>
      <c r="G151" s="21" t="s">
        <v>2223</v>
      </c>
      <c r="H151" s="21" t="s">
        <v>411</v>
      </c>
      <c r="I151" s="21" t="s">
        <v>925</v>
      </c>
      <c r="J151" s="62">
        <v>45660</v>
      </c>
      <c r="K151" s="62">
        <v>45660</v>
      </c>
      <c r="L151" s="62">
        <v>33434</v>
      </c>
      <c r="M151" s="21" t="s">
        <v>319</v>
      </c>
      <c r="N151" s="21" t="s">
        <v>203</v>
      </c>
      <c r="O151" s="63">
        <v>183.46</v>
      </c>
      <c r="P151" s="21" t="s">
        <v>642</v>
      </c>
      <c r="Q151" s="21" t="s">
        <v>673</v>
      </c>
      <c r="R151" s="21" t="s">
        <v>2224</v>
      </c>
      <c r="S151" s="21" t="s">
        <v>770</v>
      </c>
      <c r="T151" s="21" t="s">
        <v>771</v>
      </c>
      <c r="U151" s="21" t="s">
        <v>772</v>
      </c>
      <c r="V151" s="21" t="s">
        <v>326</v>
      </c>
      <c r="W151" s="21" t="s">
        <v>2225</v>
      </c>
      <c r="X151" s="21" t="s">
        <v>328</v>
      </c>
      <c r="Z151">
        <v>0</v>
      </c>
      <c r="AA151">
        <v>0</v>
      </c>
    </row>
    <row r="152" spans="1:27" x14ac:dyDescent="0.25">
      <c r="A152" s="21" t="s">
        <v>314</v>
      </c>
      <c r="B152" s="21" t="s">
        <v>315</v>
      </c>
      <c r="C152" s="21" t="s">
        <v>315</v>
      </c>
      <c r="D152" s="21" t="s">
        <v>240</v>
      </c>
      <c r="E152" s="21" t="s">
        <v>211</v>
      </c>
      <c r="F152" s="21" t="s">
        <v>1690</v>
      </c>
      <c r="G152" s="21" t="s">
        <v>1691</v>
      </c>
      <c r="H152" s="21" t="s">
        <v>670</v>
      </c>
      <c r="I152" s="21" t="s">
        <v>1692</v>
      </c>
      <c r="J152" s="62">
        <v>44425</v>
      </c>
      <c r="K152" s="62">
        <v>44425</v>
      </c>
      <c r="L152" s="62">
        <v>25795</v>
      </c>
      <c r="M152" s="21" t="s">
        <v>319</v>
      </c>
      <c r="N152" s="21" t="s">
        <v>240</v>
      </c>
      <c r="O152" s="63">
        <v>70000</v>
      </c>
      <c r="P152" s="21" t="s">
        <v>676</v>
      </c>
      <c r="Q152" s="21" t="s">
        <v>321</v>
      </c>
      <c r="R152" s="21" t="s">
        <v>1693</v>
      </c>
      <c r="S152" s="21" t="s">
        <v>1694</v>
      </c>
      <c r="T152" s="21" t="s">
        <v>1695</v>
      </c>
      <c r="U152" s="21" t="s">
        <v>1696</v>
      </c>
      <c r="V152" s="21" t="s">
        <v>326</v>
      </c>
      <c r="W152" s="21" t="s">
        <v>1697</v>
      </c>
      <c r="X152" s="21" t="s">
        <v>375</v>
      </c>
      <c r="Z152">
        <v>0</v>
      </c>
      <c r="AA152">
        <v>0</v>
      </c>
    </row>
    <row r="153" spans="1:27" x14ac:dyDescent="0.25">
      <c r="A153" s="21" t="s">
        <v>337</v>
      </c>
      <c r="B153" s="21" t="s">
        <v>315</v>
      </c>
      <c r="C153" s="21" t="s">
        <v>315</v>
      </c>
      <c r="D153" s="21" t="s">
        <v>240</v>
      </c>
      <c r="E153" s="21" t="s">
        <v>211</v>
      </c>
      <c r="F153" s="21" t="s">
        <v>1754</v>
      </c>
      <c r="G153" s="21" t="s">
        <v>1755</v>
      </c>
      <c r="H153" s="21" t="s">
        <v>493</v>
      </c>
      <c r="I153" s="21" t="s">
        <v>1756</v>
      </c>
      <c r="J153" s="62">
        <v>41900</v>
      </c>
      <c r="K153" s="62">
        <v>41900</v>
      </c>
      <c r="L153" s="62">
        <v>32631</v>
      </c>
      <c r="M153" s="21" t="s">
        <v>319</v>
      </c>
      <c r="N153" s="21" t="s">
        <v>240</v>
      </c>
      <c r="O153" s="63">
        <v>61750</v>
      </c>
      <c r="P153" s="21" t="s">
        <v>1757</v>
      </c>
      <c r="Q153" s="21" t="s">
        <v>531</v>
      </c>
      <c r="R153" s="21" t="s">
        <v>2332</v>
      </c>
      <c r="S153" s="21" t="s">
        <v>1758</v>
      </c>
      <c r="T153" s="21" t="s">
        <v>1759</v>
      </c>
      <c r="U153" s="21" t="s">
        <v>1760</v>
      </c>
      <c r="V153" s="21" t="s">
        <v>370</v>
      </c>
      <c r="W153" s="21" t="s">
        <v>1761</v>
      </c>
      <c r="X153" s="21" t="s">
        <v>328</v>
      </c>
      <c r="Z153">
        <v>0</v>
      </c>
      <c r="AA153">
        <v>0</v>
      </c>
    </row>
    <row r="154" spans="1:27" x14ac:dyDescent="0.25">
      <c r="A154" s="21" t="s">
        <v>337</v>
      </c>
      <c r="B154" s="21" t="s">
        <v>315</v>
      </c>
      <c r="C154" s="21" t="s">
        <v>315</v>
      </c>
      <c r="D154" s="21" t="s">
        <v>240</v>
      </c>
      <c r="E154" s="21" t="s">
        <v>211</v>
      </c>
      <c r="F154" s="21" t="s">
        <v>1813</v>
      </c>
      <c r="G154" s="21" t="s">
        <v>1814</v>
      </c>
      <c r="H154" s="21" t="s">
        <v>1815</v>
      </c>
      <c r="I154" s="21" t="s">
        <v>1816</v>
      </c>
      <c r="J154" s="62">
        <v>44993</v>
      </c>
      <c r="K154" s="62">
        <v>44993</v>
      </c>
      <c r="L154" s="62">
        <v>28718</v>
      </c>
      <c r="M154" s="21" t="s">
        <v>341</v>
      </c>
      <c r="N154" s="21" t="s">
        <v>240</v>
      </c>
      <c r="O154" s="63">
        <v>67925</v>
      </c>
      <c r="P154" s="21" t="s">
        <v>740</v>
      </c>
      <c r="Q154" s="21" t="s">
        <v>1817</v>
      </c>
      <c r="R154" s="21" t="s">
        <v>1818</v>
      </c>
      <c r="S154" s="21" t="s">
        <v>1758</v>
      </c>
      <c r="T154" s="21" t="s">
        <v>1759</v>
      </c>
      <c r="U154" s="21" t="s">
        <v>1819</v>
      </c>
      <c r="V154" s="21" t="s">
        <v>326</v>
      </c>
      <c r="W154" s="21" t="s">
        <v>1820</v>
      </c>
      <c r="X154" s="21" t="s">
        <v>375</v>
      </c>
      <c r="Z154">
        <v>0</v>
      </c>
      <c r="AA154">
        <v>0</v>
      </c>
    </row>
    <row r="155" spans="1:27" x14ac:dyDescent="0.25">
      <c r="A155" s="21" t="s">
        <v>337</v>
      </c>
      <c r="B155" s="21" t="s">
        <v>315</v>
      </c>
      <c r="C155" s="21" t="s">
        <v>315</v>
      </c>
      <c r="D155" s="21" t="s">
        <v>240</v>
      </c>
      <c r="E155" s="21" t="s">
        <v>214</v>
      </c>
      <c r="F155" s="21" t="s">
        <v>1839</v>
      </c>
      <c r="G155" s="21" t="s">
        <v>1840</v>
      </c>
      <c r="H155" s="21" t="s">
        <v>1841</v>
      </c>
      <c r="I155" s="21" t="s">
        <v>1842</v>
      </c>
      <c r="J155" s="62">
        <v>44471</v>
      </c>
      <c r="K155" s="62">
        <v>44471</v>
      </c>
      <c r="L155" s="62">
        <v>30704</v>
      </c>
      <c r="M155" s="21" t="s">
        <v>319</v>
      </c>
      <c r="N155" s="21" t="s">
        <v>240</v>
      </c>
      <c r="O155" s="63">
        <v>105000</v>
      </c>
      <c r="P155" s="21" t="s">
        <v>708</v>
      </c>
      <c r="Q155" s="21" t="s">
        <v>1843</v>
      </c>
      <c r="R155" s="21" t="s">
        <v>1844</v>
      </c>
      <c r="S155" s="21" t="s">
        <v>1845</v>
      </c>
      <c r="T155" s="21" t="s">
        <v>1846</v>
      </c>
      <c r="U155" s="21" t="s">
        <v>1847</v>
      </c>
      <c r="V155" s="21" t="s">
        <v>326</v>
      </c>
      <c r="W155" s="21" t="s">
        <v>1848</v>
      </c>
      <c r="X155" s="21" t="s">
        <v>328</v>
      </c>
      <c r="Z155">
        <v>0</v>
      </c>
      <c r="AA155">
        <v>0</v>
      </c>
    </row>
    <row r="156" spans="1:27" x14ac:dyDescent="0.25">
      <c r="A156" s="21" t="s">
        <v>364</v>
      </c>
      <c r="B156" s="21" t="s">
        <v>315</v>
      </c>
      <c r="C156" s="21" t="s">
        <v>315</v>
      </c>
      <c r="D156" s="21" t="s">
        <v>240</v>
      </c>
      <c r="E156" s="21" t="s">
        <v>214</v>
      </c>
      <c r="F156" s="21" t="s">
        <v>2298</v>
      </c>
      <c r="G156" s="21" t="s">
        <v>2299</v>
      </c>
      <c r="H156" s="21" t="s">
        <v>2300</v>
      </c>
      <c r="I156" s="21" t="s">
        <v>2301</v>
      </c>
      <c r="J156" s="62">
        <v>46115</v>
      </c>
      <c r="K156" s="62">
        <v>46115</v>
      </c>
      <c r="L156" s="62">
        <v>36431</v>
      </c>
      <c r="M156" s="21" t="s">
        <v>341</v>
      </c>
      <c r="N156" s="21" t="s">
        <v>240</v>
      </c>
      <c r="O156" s="63">
        <v>55000</v>
      </c>
      <c r="P156" s="21" t="s">
        <v>834</v>
      </c>
      <c r="Q156" s="21" t="s">
        <v>2302</v>
      </c>
      <c r="R156" s="21" t="s">
        <v>2303</v>
      </c>
      <c r="S156" s="21" t="s">
        <v>2304</v>
      </c>
      <c r="T156" s="21" t="s">
        <v>2305</v>
      </c>
      <c r="U156" s="21" t="s">
        <v>2306</v>
      </c>
      <c r="V156" s="21" t="s">
        <v>666</v>
      </c>
      <c r="W156" s="21" t="s">
        <v>2307</v>
      </c>
      <c r="X156" s="21" t="s">
        <v>328</v>
      </c>
      <c r="Z156">
        <v>0</v>
      </c>
      <c r="AA156">
        <v>0</v>
      </c>
    </row>
    <row r="157" spans="1:27" x14ac:dyDescent="0.25">
      <c r="A157" s="21" t="s">
        <v>329</v>
      </c>
      <c r="B157" s="21" t="s">
        <v>315</v>
      </c>
      <c r="C157" s="21" t="s">
        <v>315</v>
      </c>
      <c r="D157" s="21" t="s">
        <v>240</v>
      </c>
      <c r="E157" s="21" t="s">
        <v>1157</v>
      </c>
      <c r="F157" s="21" t="s">
        <v>1158</v>
      </c>
      <c r="G157" s="21" t="s">
        <v>1159</v>
      </c>
      <c r="H157" s="21" t="s">
        <v>317</v>
      </c>
      <c r="I157" s="21" t="s">
        <v>741</v>
      </c>
      <c r="J157" s="62">
        <v>46062</v>
      </c>
      <c r="K157" s="62">
        <v>46062</v>
      </c>
      <c r="L157" s="62">
        <v>28804</v>
      </c>
      <c r="M157" s="21" t="s">
        <v>319</v>
      </c>
      <c r="N157" s="21" t="s">
        <v>240</v>
      </c>
      <c r="O157" s="63">
        <v>68000</v>
      </c>
      <c r="P157" s="21" t="s">
        <v>932</v>
      </c>
      <c r="Q157" s="21" t="s">
        <v>1160</v>
      </c>
      <c r="R157" s="21" t="s">
        <v>1161</v>
      </c>
      <c r="S157" s="21" t="s">
        <v>1162</v>
      </c>
      <c r="T157" s="21" t="s">
        <v>1163</v>
      </c>
      <c r="U157" s="21" t="s">
        <v>1164</v>
      </c>
      <c r="V157" s="21" t="s">
        <v>370</v>
      </c>
      <c r="W157" s="21" t="s">
        <v>1165</v>
      </c>
      <c r="X157" s="21" t="s">
        <v>375</v>
      </c>
      <c r="Z157">
        <v>0</v>
      </c>
      <c r="AA157">
        <v>0</v>
      </c>
    </row>
    <row r="158" spans="1:27" x14ac:dyDescent="0.25">
      <c r="A158" s="21" t="s">
        <v>337</v>
      </c>
      <c r="B158" s="21" t="s">
        <v>315</v>
      </c>
      <c r="C158" s="21" t="s">
        <v>315</v>
      </c>
      <c r="D158" s="21" t="s">
        <v>240</v>
      </c>
      <c r="E158" s="21" t="s">
        <v>1157</v>
      </c>
      <c r="F158" s="21" t="s">
        <v>1360</v>
      </c>
      <c r="G158" s="21" t="s">
        <v>1361</v>
      </c>
      <c r="H158" s="21" t="s">
        <v>1362</v>
      </c>
      <c r="I158" s="21" t="s">
        <v>1363</v>
      </c>
      <c r="J158" s="62">
        <v>43770</v>
      </c>
      <c r="K158" s="62">
        <v>43770</v>
      </c>
      <c r="L158" s="62">
        <v>32813</v>
      </c>
      <c r="M158" s="21" t="s">
        <v>341</v>
      </c>
      <c r="N158" s="21" t="s">
        <v>240</v>
      </c>
      <c r="O158" s="63">
        <v>75000</v>
      </c>
      <c r="P158" s="21" t="s">
        <v>1364</v>
      </c>
      <c r="Q158" s="21" t="s">
        <v>531</v>
      </c>
      <c r="R158" s="21"/>
      <c r="S158" s="21" t="s">
        <v>717</v>
      </c>
      <c r="T158" s="21" t="s">
        <v>718</v>
      </c>
      <c r="U158" s="21" t="s">
        <v>1157</v>
      </c>
      <c r="V158" s="21" t="s">
        <v>326</v>
      </c>
      <c r="W158" s="21" t="s">
        <v>1365</v>
      </c>
      <c r="X158" s="21" t="s">
        <v>328</v>
      </c>
      <c r="Z158">
        <v>0</v>
      </c>
      <c r="AA158">
        <v>0</v>
      </c>
    </row>
    <row r="159" spans="1:27" x14ac:dyDescent="0.25">
      <c r="A159" s="21" t="s">
        <v>510</v>
      </c>
      <c r="B159" s="21" t="s">
        <v>315</v>
      </c>
      <c r="C159" s="21" t="s">
        <v>315</v>
      </c>
      <c r="D159" s="21" t="s">
        <v>240</v>
      </c>
      <c r="E159" s="21" t="s">
        <v>1157</v>
      </c>
      <c r="F159" s="21" t="s">
        <v>1683</v>
      </c>
      <c r="G159" s="21" t="s">
        <v>1684</v>
      </c>
      <c r="H159" s="21" t="s">
        <v>670</v>
      </c>
      <c r="I159" s="21" t="s">
        <v>1685</v>
      </c>
      <c r="J159" s="62">
        <v>43801</v>
      </c>
      <c r="K159" s="62">
        <v>43801</v>
      </c>
      <c r="L159" s="62">
        <v>30696</v>
      </c>
      <c r="M159" s="21" t="s">
        <v>319</v>
      </c>
      <c r="N159" s="21" t="s">
        <v>240</v>
      </c>
      <c r="O159" s="63">
        <v>110000</v>
      </c>
      <c r="P159" s="21" t="s">
        <v>1068</v>
      </c>
      <c r="Q159" s="21" t="s">
        <v>677</v>
      </c>
      <c r="R159" s="21"/>
      <c r="S159" s="21" t="s">
        <v>1686</v>
      </c>
      <c r="T159" s="21" t="s">
        <v>1687</v>
      </c>
      <c r="U159" s="21" t="s">
        <v>1688</v>
      </c>
      <c r="V159" s="21" t="s">
        <v>326</v>
      </c>
      <c r="W159" s="21" t="s">
        <v>1689</v>
      </c>
      <c r="X159" s="21" t="s">
        <v>328</v>
      </c>
      <c r="Z159">
        <v>0</v>
      </c>
      <c r="AA159">
        <v>0</v>
      </c>
    </row>
    <row r="160" spans="1:27" x14ac:dyDescent="0.25">
      <c r="A160" s="21" t="s">
        <v>444</v>
      </c>
      <c r="B160" s="21" t="s">
        <v>315</v>
      </c>
      <c r="C160" s="21" t="s">
        <v>315</v>
      </c>
      <c r="D160" s="21" t="s">
        <v>240</v>
      </c>
      <c r="E160" s="21" t="s">
        <v>1157</v>
      </c>
      <c r="F160" s="21" t="s">
        <v>2064</v>
      </c>
      <c r="G160" s="21" t="s">
        <v>2065</v>
      </c>
      <c r="H160" s="21" t="s">
        <v>660</v>
      </c>
      <c r="I160" s="21" t="s">
        <v>2066</v>
      </c>
      <c r="J160" s="62">
        <v>44996</v>
      </c>
      <c r="K160" s="62">
        <v>44996</v>
      </c>
      <c r="L160" s="62">
        <v>28225</v>
      </c>
      <c r="M160" s="21" t="s">
        <v>319</v>
      </c>
      <c r="N160" s="21" t="s">
        <v>240</v>
      </c>
      <c r="O160" s="63">
        <v>68750</v>
      </c>
      <c r="P160" s="21" t="s">
        <v>2067</v>
      </c>
      <c r="Q160" s="21" t="s">
        <v>970</v>
      </c>
      <c r="R160" s="21" t="s">
        <v>2068</v>
      </c>
      <c r="S160" s="21" t="s">
        <v>1162</v>
      </c>
      <c r="T160" s="21" t="s">
        <v>1163</v>
      </c>
      <c r="U160" s="21" t="s">
        <v>219</v>
      </c>
      <c r="V160" s="21" t="s">
        <v>326</v>
      </c>
      <c r="W160" s="21" t="s">
        <v>2069</v>
      </c>
      <c r="X160" s="21" t="s">
        <v>375</v>
      </c>
      <c r="Z160">
        <v>0</v>
      </c>
      <c r="AA160">
        <v>0</v>
      </c>
    </row>
    <row r="161" spans="1:27" x14ac:dyDescent="0.25">
      <c r="A161" s="21" t="s">
        <v>329</v>
      </c>
      <c r="B161" s="21" t="s">
        <v>315</v>
      </c>
      <c r="C161" s="21" t="s">
        <v>315</v>
      </c>
      <c r="D161" s="21" t="s">
        <v>227</v>
      </c>
      <c r="E161" s="21" t="s">
        <v>227</v>
      </c>
      <c r="F161" s="21" t="s">
        <v>1246</v>
      </c>
      <c r="G161" s="21" t="s">
        <v>1247</v>
      </c>
      <c r="H161" s="21" t="s">
        <v>1248</v>
      </c>
      <c r="I161" s="21" t="s">
        <v>751</v>
      </c>
      <c r="J161" s="62">
        <v>45639</v>
      </c>
      <c r="K161" s="62">
        <v>45639</v>
      </c>
      <c r="L161" s="62">
        <v>27106</v>
      </c>
      <c r="M161" s="21" t="s">
        <v>341</v>
      </c>
      <c r="N161" s="21" t="s">
        <v>227</v>
      </c>
      <c r="O161" s="63">
        <v>40000</v>
      </c>
      <c r="P161" s="21" t="s">
        <v>708</v>
      </c>
      <c r="Q161" s="21" t="s">
        <v>441</v>
      </c>
      <c r="R161" s="21"/>
      <c r="S161" s="21" t="s">
        <v>1249</v>
      </c>
      <c r="T161" s="21" t="s">
        <v>1250</v>
      </c>
      <c r="U161" s="21" t="s">
        <v>1251</v>
      </c>
      <c r="V161" s="21" t="s">
        <v>666</v>
      </c>
      <c r="W161" s="21"/>
      <c r="X161" s="21" t="s">
        <v>328</v>
      </c>
      <c r="Z161">
        <v>0</v>
      </c>
      <c r="AA161">
        <v>0</v>
      </c>
    </row>
    <row r="162" spans="1:27" x14ac:dyDescent="0.25">
      <c r="A162" s="21" t="s">
        <v>329</v>
      </c>
      <c r="B162" s="21" t="s">
        <v>315</v>
      </c>
      <c r="C162" s="21" t="s">
        <v>315</v>
      </c>
      <c r="D162" s="21" t="s">
        <v>227</v>
      </c>
      <c r="E162" s="21" t="s">
        <v>227</v>
      </c>
      <c r="F162" s="21" t="s">
        <v>1253</v>
      </c>
      <c r="G162" s="21" t="s">
        <v>1254</v>
      </c>
      <c r="H162" s="21" t="s">
        <v>1255</v>
      </c>
      <c r="I162" s="21" t="s">
        <v>751</v>
      </c>
      <c r="J162" s="62">
        <v>45639</v>
      </c>
      <c r="K162" s="62">
        <v>45639</v>
      </c>
      <c r="L162" s="62">
        <v>38022</v>
      </c>
      <c r="M162" s="21" t="s">
        <v>341</v>
      </c>
      <c r="N162" s="21" t="s">
        <v>227</v>
      </c>
      <c r="O162" s="63">
        <v>40000</v>
      </c>
      <c r="P162" s="21" t="s">
        <v>740</v>
      </c>
      <c r="Q162" s="21" t="s">
        <v>970</v>
      </c>
      <c r="R162" s="21"/>
      <c r="S162" s="21" t="s">
        <v>1249</v>
      </c>
      <c r="T162" s="21" t="s">
        <v>1250</v>
      </c>
      <c r="U162" s="21" t="s">
        <v>1251</v>
      </c>
      <c r="V162" s="21" t="s">
        <v>326</v>
      </c>
      <c r="W162" s="21"/>
      <c r="X162" s="21" t="s">
        <v>328</v>
      </c>
      <c r="Z162">
        <v>0</v>
      </c>
      <c r="AA162">
        <v>0</v>
      </c>
    </row>
    <row r="163" spans="1:27" x14ac:dyDescent="0.25">
      <c r="A163" s="21" t="s">
        <v>314</v>
      </c>
      <c r="B163" s="21" t="s">
        <v>315</v>
      </c>
      <c r="C163" s="21" t="s">
        <v>315</v>
      </c>
      <c r="D163" s="21" t="s">
        <v>207</v>
      </c>
      <c r="E163" s="21" t="s">
        <v>207</v>
      </c>
      <c r="F163" s="21" t="s">
        <v>1256</v>
      </c>
      <c r="G163" s="21" t="s">
        <v>1257</v>
      </c>
      <c r="H163" s="21" t="s">
        <v>358</v>
      </c>
      <c r="I163" s="21" t="s">
        <v>1258</v>
      </c>
      <c r="J163" s="62">
        <v>45329</v>
      </c>
      <c r="K163" s="62">
        <v>45329</v>
      </c>
      <c r="L163" s="62">
        <v>29596</v>
      </c>
      <c r="M163" s="21" t="s">
        <v>319</v>
      </c>
      <c r="N163" s="21" t="s">
        <v>207</v>
      </c>
      <c r="O163" s="63">
        <v>200</v>
      </c>
      <c r="P163" s="21" t="s">
        <v>1259</v>
      </c>
      <c r="Q163" s="21" t="s">
        <v>404</v>
      </c>
      <c r="R163" s="21" t="s">
        <v>1260</v>
      </c>
      <c r="S163" s="21" t="s">
        <v>690</v>
      </c>
      <c r="T163" s="21" t="s">
        <v>691</v>
      </c>
      <c r="U163" s="21" t="s">
        <v>1261</v>
      </c>
      <c r="V163" s="21" t="s">
        <v>355</v>
      </c>
      <c r="W163" s="21" t="s">
        <v>1262</v>
      </c>
      <c r="X163" s="21" t="s">
        <v>375</v>
      </c>
      <c r="Z163">
        <v>0</v>
      </c>
      <c r="AA163">
        <v>0</v>
      </c>
    </row>
    <row r="164" spans="1:27" x14ac:dyDescent="0.25">
      <c r="A164" s="21" t="s">
        <v>337</v>
      </c>
      <c r="B164" s="21" t="s">
        <v>315</v>
      </c>
      <c r="C164" s="21" t="s">
        <v>315</v>
      </c>
      <c r="D164" s="21" t="s">
        <v>207</v>
      </c>
      <c r="E164" s="21" t="s">
        <v>207</v>
      </c>
      <c r="F164" s="21" t="s">
        <v>1304</v>
      </c>
      <c r="G164" s="21" t="s">
        <v>1305</v>
      </c>
      <c r="H164" s="21" t="s">
        <v>1306</v>
      </c>
      <c r="I164" s="21" t="s">
        <v>1307</v>
      </c>
      <c r="J164" s="62">
        <v>44994</v>
      </c>
      <c r="K164" s="62">
        <v>44994</v>
      </c>
      <c r="L164" s="62">
        <v>25852</v>
      </c>
      <c r="M164" s="21" t="s">
        <v>319</v>
      </c>
      <c r="N164" s="21" t="s">
        <v>207</v>
      </c>
      <c r="O164" s="63">
        <v>185.66</v>
      </c>
      <c r="P164" s="21" t="s">
        <v>379</v>
      </c>
      <c r="Q164" s="21" t="s">
        <v>372</v>
      </c>
      <c r="R164" s="21" t="s">
        <v>1308</v>
      </c>
      <c r="S164" s="21" t="s">
        <v>1125</v>
      </c>
      <c r="T164" s="21" t="s">
        <v>1126</v>
      </c>
      <c r="U164" s="21" t="s">
        <v>1309</v>
      </c>
      <c r="V164" s="21" t="s">
        <v>326</v>
      </c>
      <c r="W164" s="21" t="s">
        <v>1310</v>
      </c>
      <c r="X164" s="21" t="s">
        <v>375</v>
      </c>
      <c r="Z164">
        <v>0</v>
      </c>
      <c r="AA164">
        <v>0</v>
      </c>
    </row>
    <row r="165" spans="1:27" x14ac:dyDescent="0.25">
      <c r="A165" s="21" t="s">
        <v>337</v>
      </c>
      <c r="B165" s="21" t="s">
        <v>315</v>
      </c>
      <c r="C165" s="21" t="s">
        <v>315</v>
      </c>
      <c r="D165" s="21" t="s">
        <v>207</v>
      </c>
      <c r="E165" s="21" t="s">
        <v>207</v>
      </c>
      <c r="F165" s="21" t="s">
        <v>2480</v>
      </c>
      <c r="G165" s="21" t="s">
        <v>2481</v>
      </c>
      <c r="H165" s="21" t="s">
        <v>2482</v>
      </c>
      <c r="I165" s="21" t="s">
        <v>1664</v>
      </c>
      <c r="J165" s="62">
        <v>46237</v>
      </c>
      <c r="K165" s="62">
        <v>46237</v>
      </c>
      <c r="L165" s="62">
        <v>30395</v>
      </c>
      <c r="M165" s="21" t="s">
        <v>319</v>
      </c>
      <c r="N165" s="21" t="s">
        <v>207</v>
      </c>
      <c r="O165" s="63">
        <v>0</v>
      </c>
      <c r="P165" s="21" t="s">
        <v>1094</v>
      </c>
      <c r="Q165" s="21" t="s">
        <v>321</v>
      </c>
      <c r="R165" s="21" t="s">
        <v>2483</v>
      </c>
      <c r="S165" s="21" t="s">
        <v>323</v>
      </c>
      <c r="T165" s="21" t="s">
        <v>324</v>
      </c>
      <c r="U165" s="21" t="s">
        <v>1127</v>
      </c>
      <c r="V165" s="21" t="s">
        <v>355</v>
      </c>
      <c r="W165" s="21" t="s">
        <v>2484</v>
      </c>
      <c r="X165" s="21" t="s">
        <v>328</v>
      </c>
      <c r="Z165">
        <v>0</v>
      </c>
      <c r="AA165">
        <v>0</v>
      </c>
    </row>
    <row r="166" spans="1:27" x14ac:dyDescent="0.25">
      <c r="A166" s="21" t="s">
        <v>364</v>
      </c>
      <c r="B166" s="21" t="s">
        <v>315</v>
      </c>
      <c r="C166" s="21" t="s">
        <v>315</v>
      </c>
      <c r="D166" s="21" t="s">
        <v>207</v>
      </c>
      <c r="E166" s="21" t="s">
        <v>207</v>
      </c>
      <c r="F166" s="21" t="s">
        <v>1476</v>
      </c>
      <c r="G166" s="21" t="s">
        <v>1477</v>
      </c>
      <c r="H166" s="21" t="s">
        <v>1478</v>
      </c>
      <c r="I166" s="21" t="s">
        <v>737</v>
      </c>
      <c r="J166" s="62">
        <v>41960</v>
      </c>
      <c r="K166" s="62">
        <v>41960</v>
      </c>
      <c r="L166" s="62">
        <v>31464</v>
      </c>
      <c r="M166" s="21" t="s">
        <v>319</v>
      </c>
      <c r="N166" s="21" t="s">
        <v>207</v>
      </c>
      <c r="O166" s="63">
        <v>200</v>
      </c>
      <c r="P166" s="21" t="s">
        <v>1479</v>
      </c>
      <c r="Q166" s="21" t="s">
        <v>657</v>
      </c>
      <c r="R166" s="21" t="s">
        <v>1480</v>
      </c>
      <c r="S166" s="21" t="s">
        <v>1125</v>
      </c>
      <c r="T166" s="21" t="s">
        <v>1126</v>
      </c>
      <c r="U166" s="21" t="s">
        <v>1127</v>
      </c>
      <c r="V166" s="21" t="s">
        <v>370</v>
      </c>
      <c r="W166" s="21" t="s">
        <v>1481</v>
      </c>
      <c r="X166" s="21" t="s">
        <v>328</v>
      </c>
      <c r="Z166">
        <v>0</v>
      </c>
      <c r="AA166">
        <v>0</v>
      </c>
    </row>
    <row r="167" spans="1:27" x14ac:dyDescent="0.25">
      <c r="A167" s="21" t="s">
        <v>329</v>
      </c>
      <c r="B167" s="21" t="s">
        <v>315</v>
      </c>
      <c r="C167" s="21" t="s">
        <v>315</v>
      </c>
      <c r="D167" s="21" t="s">
        <v>207</v>
      </c>
      <c r="E167" s="21" t="s">
        <v>207</v>
      </c>
      <c r="F167" s="21" t="s">
        <v>1548</v>
      </c>
      <c r="G167" s="21" t="s">
        <v>1549</v>
      </c>
      <c r="H167" s="21" t="s">
        <v>1550</v>
      </c>
      <c r="I167" s="21" t="s">
        <v>1551</v>
      </c>
      <c r="J167" s="62">
        <v>45537</v>
      </c>
      <c r="K167" s="62">
        <v>45537</v>
      </c>
      <c r="L167" s="62">
        <v>36360</v>
      </c>
      <c r="M167" s="21" t="s">
        <v>319</v>
      </c>
      <c r="N167" s="21" t="s">
        <v>207</v>
      </c>
      <c r="O167" s="63">
        <v>183.46</v>
      </c>
      <c r="P167" s="21" t="s">
        <v>652</v>
      </c>
      <c r="Q167" s="21" t="s">
        <v>596</v>
      </c>
      <c r="R167" s="21" t="s">
        <v>1552</v>
      </c>
      <c r="S167" s="21" t="s">
        <v>1129</v>
      </c>
      <c r="T167" s="21" t="s">
        <v>1130</v>
      </c>
      <c r="U167" s="21" t="s">
        <v>1553</v>
      </c>
      <c r="V167" s="21" t="s">
        <v>326</v>
      </c>
      <c r="W167" s="21" t="s">
        <v>1554</v>
      </c>
      <c r="X167" s="21" t="s">
        <v>328</v>
      </c>
      <c r="Z167">
        <v>0</v>
      </c>
      <c r="AA167">
        <v>0</v>
      </c>
    </row>
    <row r="168" spans="1:27" x14ac:dyDescent="0.25">
      <c r="A168" s="21" t="s">
        <v>329</v>
      </c>
      <c r="B168" s="21" t="s">
        <v>315</v>
      </c>
      <c r="C168" s="21" t="s">
        <v>315</v>
      </c>
      <c r="D168" s="21" t="s">
        <v>207</v>
      </c>
      <c r="E168" s="21" t="s">
        <v>207</v>
      </c>
      <c r="F168" s="21" t="s">
        <v>1560</v>
      </c>
      <c r="G168" s="21" t="s">
        <v>1561</v>
      </c>
      <c r="H168" s="21" t="s">
        <v>464</v>
      </c>
      <c r="I168" s="21" t="s">
        <v>1562</v>
      </c>
      <c r="J168" s="62">
        <v>45586</v>
      </c>
      <c r="K168" s="62">
        <v>45586</v>
      </c>
      <c r="L168" s="62">
        <v>29337</v>
      </c>
      <c r="M168" s="21" t="s">
        <v>319</v>
      </c>
      <c r="N168" s="21" t="s">
        <v>207</v>
      </c>
      <c r="O168" s="63">
        <v>212.8</v>
      </c>
      <c r="P168" s="21" t="s">
        <v>708</v>
      </c>
      <c r="Q168" s="21" t="s">
        <v>1563</v>
      </c>
      <c r="R168" s="21" t="s">
        <v>1564</v>
      </c>
      <c r="S168" s="21" t="s">
        <v>1125</v>
      </c>
      <c r="T168" s="21" t="s">
        <v>1126</v>
      </c>
      <c r="U168" s="21" t="s">
        <v>1127</v>
      </c>
      <c r="V168" s="21" t="s">
        <v>370</v>
      </c>
      <c r="W168" s="21" t="s">
        <v>1565</v>
      </c>
      <c r="X168" s="21" t="s">
        <v>328</v>
      </c>
      <c r="Z168">
        <v>0</v>
      </c>
      <c r="AA168">
        <v>0</v>
      </c>
    </row>
    <row r="169" spans="1:27" x14ac:dyDescent="0.25">
      <c r="A169" s="21" t="s">
        <v>329</v>
      </c>
      <c r="B169" s="21" t="s">
        <v>315</v>
      </c>
      <c r="C169" s="21" t="s">
        <v>315</v>
      </c>
      <c r="D169" s="21" t="s">
        <v>207</v>
      </c>
      <c r="E169" s="21" t="s">
        <v>207</v>
      </c>
      <c r="F169" s="21" t="s">
        <v>1584</v>
      </c>
      <c r="G169" s="21" t="s">
        <v>1585</v>
      </c>
      <c r="H169" s="21" t="s">
        <v>1586</v>
      </c>
      <c r="I169" s="21" t="s">
        <v>1587</v>
      </c>
      <c r="J169" s="62">
        <v>45574</v>
      </c>
      <c r="K169" s="62">
        <v>45574</v>
      </c>
      <c r="L169" s="62">
        <v>32730</v>
      </c>
      <c r="M169" s="21" t="s">
        <v>319</v>
      </c>
      <c r="N169" s="21" t="s">
        <v>207</v>
      </c>
      <c r="O169" s="63">
        <v>209.13</v>
      </c>
      <c r="P169" s="21" t="s">
        <v>682</v>
      </c>
      <c r="Q169" s="21" t="s">
        <v>1588</v>
      </c>
      <c r="R169" s="21" t="s">
        <v>1589</v>
      </c>
      <c r="S169" s="21" t="s">
        <v>1125</v>
      </c>
      <c r="T169" s="21" t="s">
        <v>1126</v>
      </c>
      <c r="U169" s="21" t="s">
        <v>1127</v>
      </c>
      <c r="V169" s="21" t="s">
        <v>326</v>
      </c>
      <c r="W169" s="21" t="s">
        <v>1590</v>
      </c>
      <c r="X169" s="21" t="s">
        <v>328</v>
      </c>
      <c r="Z169">
        <v>0</v>
      </c>
      <c r="AA169">
        <v>0</v>
      </c>
    </row>
    <row r="170" spans="1:27" x14ac:dyDescent="0.25">
      <c r="A170" s="21" t="s">
        <v>329</v>
      </c>
      <c r="B170" s="21" t="s">
        <v>315</v>
      </c>
      <c r="C170" s="21" t="s">
        <v>315</v>
      </c>
      <c r="D170" s="21" t="s">
        <v>207</v>
      </c>
      <c r="E170" s="21" t="s">
        <v>207</v>
      </c>
      <c r="F170" s="21" t="s">
        <v>1605</v>
      </c>
      <c r="G170" s="21" t="s">
        <v>1606</v>
      </c>
      <c r="H170" s="21" t="s">
        <v>353</v>
      </c>
      <c r="I170" s="21" t="s">
        <v>474</v>
      </c>
      <c r="J170" s="62">
        <v>45173</v>
      </c>
      <c r="K170" s="62">
        <v>45173</v>
      </c>
      <c r="L170" s="62">
        <v>29346</v>
      </c>
      <c r="M170" s="21" t="s">
        <v>319</v>
      </c>
      <c r="N170" s="21" t="s">
        <v>207</v>
      </c>
      <c r="O170" s="63">
        <v>215.56</v>
      </c>
      <c r="P170" s="21" t="s">
        <v>475</v>
      </c>
      <c r="Q170" s="21" t="s">
        <v>476</v>
      </c>
      <c r="R170" s="21" t="s">
        <v>1607</v>
      </c>
      <c r="S170" s="21" t="s">
        <v>1125</v>
      </c>
      <c r="T170" s="21" t="s">
        <v>1126</v>
      </c>
      <c r="U170" s="21" t="s">
        <v>1127</v>
      </c>
      <c r="V170" s="21" t="s">
        <v>355</v>
      </c>
      <c r="W170" s="21" t="s">
        <v>1608</v>
      </c>
      <c r="X170" s="21" t="s">
        <v>375</v>
      </c>
      <c r="Z170">
        <v>0</v>
      </c>
      <c r="AA170">
        <v>0</v>
      </c>
    </row>
    <row r="171" spans="1:27" x14ac:dyDescent="0.25">
      <c r="A171" s="21" t="s">
        <v>337</v>
      </c>
      <c r="B171" s="21" t="s">
        <v>315</v>
      </c>
      <c r="C171" s="21" t="s">
        <v>315</v>
      </c>
      <c r="D171" s="21" t="s">
        <v>207</v>
      </c>
      <c r="E171" s="21" t="s">
        <v>207</v>
      </c>
      <c r="F171" s="21" t="s">
        <v>1636</v>
      </c>
      <c r="G171" s="21" t="s">
        <v>1637</v>
      </c>
      <c r="H171" s="21" t="s">
        <v>473</v>
      </c>
      <c r="I171" s="21" t="s">
        <v>1039</v>
      </c>
      <c r="J171" s="62">
        <v>45050</v>
      </c>
      <c r="K171" s="62">
        <v>45050</v>
      </c>
      <c r="L171" s="62">
        <v>28745</v>
      </c>
      <c r="M171" s="21" t="s">
        <v>319</v>
      </c>
      <c r="N171" s="21" t="s">
        <v>207</v>
      </c>
      <c r="O171" s="63">
        <v>177.58</v>
      </c>
      <c r="P171" s="21" t="s">
        <v>1094</v>
      </c>
      <c r="Q171" s="21" t="s">
        <v>696</v>
      </c>
      <c r="R171" s="21" t="s">
        <v>1638</v>
      </c>
      <c r="S171" s="21" t="s">
        <v>1125</v>
      </c>
      <c r="T171" s="21" t="s">
        <v>1126</v>
      </c>
      <c r="U171" s="21" t="s">
        <v>1127</v>
      </c>
      <c r="V171" s="21" t="s">
        <v>355</v>
      </c>
      <c r="W171" s="21" t="s">
        <v>1639</v>
      </c>
      <c r="X171" s="21" t="s">
        <v>375</v>
      </c>
      <c r="Z171">
        <v>0</v>
      </c>
      <c r="AA171">
        <v>0</v>
      </c>
    </row>
    <row r="172" spans="1:27" x14ac:dyDescent="0.25">
      <c r="A172" s="21" t="s">
        <v>444</v>
      </c>
      <c r="B172" s="21" t="s">
        <v>315</v>
      </c>
      <c r="C172" s="21" t="s">
        <v>315</v>
      </c>
      <c r="D172" s="21" t="s">
        <v>207</v>
      </c>
      <c r="E172" s="21" t="s">
        <v>207</v>
      </c>
      <c r="F172" s="21" t="s">
        <v>1770</v>
      </c>
      <c r="G172" s="21" t="s">
        <v>1771</v>
      </c>
      <c r="H172" s="21" t="s">
        <v>493</v>
      </c>
      <c r="I172" s="21" t="s">
        <v>1772</v>
      </c>
      <c r="J172" s="62">
        <v>44995</v>
      </c>
      <c r="K172" s="62">
        <v>44995</v>
      </c>
      <c r="L172" s="62">
        <v>26749</v>
      </c>
      <c r="M172" s="21" t="s">
        <v>319</v>
      </c>
      <c r="N172" s="21" t="s">
        <v>207</v>
      </c>
      <c r="O172" s="63">
        <v>217.78</v>
      </c>
      <c r="P172" s="21" t="s">
        <v>1342</v>
      </c>
      <c r="Q172" s="21" t="s">
        <v>1773</v>
      </c>
      <c r="R172" s="21" t="s">
        <v>1774</v>
      </c>
      <c r="S172" s="21" t="s">
        <v>1125</v>
      </c>
      <c r="T172" s="21" t="s">
        <v>1126</v>
      </c>
      <c r="U172" s="21" t="s">
        <v>1127</v>
      </c>
      <c r="V172" s="21" t="s">
        <v>370</v>
      </c>
      <c r="W172" s="21" t="s">
        <v>1775</v>
      </c>
      <c r="X172" s="21" t="s">
        <v>375</v>
      </c>
      <c r="Z172">
        <v>0</v>
      </c>
      <c r="AA172">
        <v>0</v>
      </c>
    </row>
    <row r="173" spans="1:27" x14ac:dyDescent="0.25">
      <c r="A173" s="21" t="s">
        <v>314</v>
      </c>
      <c r="B173" s="21" t="s">
        <v>315</v>
      </c>
      <c r="C173" s="21" t="s">
        <v>315</v>
      </c>
      <c r="D173" s="21" t="s">
        <v>240</v>
      </c>
      <c r="E173" s="21" t="s">
        <v>207</v>
      </c>
      <c r="F173" s="21" t="s">
        <v>1776</v>
      </c>
      <c r="G173" s="21" t="s">
        <v>1777</v>
      </c>
      <c r="H173" s="21" t="s">
        <v>493</v>
      </c>
      <c r="I173" s="21" t="s">
        <v>1778</v>
      </c>
      <c r="J173" s="62">
        <v>44994</v>
      </c>
      <c r="K173" s="62">
        <v>44994</v>
      </c>
      <c r="L173" s="62">
        <v>26757</v>
      </c>
      <c r="M173" s="21" t="s">
        <v>319</v>
      </c>
      <c r="N173" s="21" t="s">
        <v>240</v>
      </c>
      <c r="O173" s="63">
        <v>75000</v>
      </c>
      <c r="P173" s="21" t="s">
        <v>1040</v>
      </c>
      <c r="Q173" s="21" t="s">
        <v>1137</v>
      </c>
      <c r="R173" s="21" t="s">
        <v>1779</v>
      </c>
      <c r="S173" s="21" t="s">
        <v>1125</v>
      </c>
      <c r="T173" s="21" t="s">
        <v>1126</v>
      </c>
      <c r="U173" s="21" t="s">
        <v>1127</v>
      </c>
      <c r="V173" s="21" t="s">
        <v>370</v>
      </c>
      <c r="W173" s="21" t="s">
        <v>1780</v>
      </c>
      <c r="X173" s="21" t="s">
        <v>375</v>
      </c>
      <c r="Z173">
        <v>0</v>
      </c>
      <c r="AA173">
        <v>0</v>
      </c>
    </row>
    <row r="174" spans="1:27" x14ac:dyDescent="0.25">
      <c r="A174" s="21" t="s">
        <v>510</v>
      </c>
      <c r="B174" s="21" t="s">
        <v>315</v>
      </c>
      <c r="C174" s="21" t="s">
        <v>315</v>
      </c>
      <c r="D174" s="21" t="s">
        <v>207</v>
      </c>
      <c r="E174" s="21" t="s">
        <v>207</v>
      </c>
      <c r="F174" s="21" t="s">
        <v>1807</v>
      </c>
      <c r="G174" s="21" t="s">
        <v>1808</v>
      </c>
      <c r="H174" s="21" t="s">
        <v>1809</v>
      </c>
      <c r="I174" s="21" t="s">
        <v>1810</v>
      </c>
      <c r="J174" s="62">
        <v>44995</v>
      </c>
      <c r="K174" s="62">
        <v>44995</v>
      </c>
      <c r="L174" s="62">
        <v>29132</v>
      </c>
      <c r="M174" s="21" t="s">
        <v>319</v>
      </c>
      <c r="N174" s="21" t="s">
        <v>207</v>
      </c>
      <c r="O174" s="63">
        <v>209.88</v>
      </c>
      <c r="P174" s="21" t="s">
        <v>506</v>
      </c>
      <c r="Q174" s="21" t="s">
        <v>610</v>
      </c>
      <c r="R174" s="21" t="s">
        <v>1811</v>
      </c>
      <c r="S174" s="21" t="s">
        <v>1125</v>
      </c>
      <c r="T174" s="21" t="s">
        <v>1126</v>
      </c>
      <c r="U174" s="21" t="s">
        <v>1127</v>
      </c>
      <c r="V174" s="21" t="s">
        <v>355</v>
      </c>
      <c r="W174" s="21" t="s">
        <v>1812</v>
      </c>
      <c r="X174" s="21" t="s">
        <v>375</v>
      </c>
      <c r="Z174">
        <v>0</v>
      </c>
      <c r="AA174">
        <v>0</v>
      </c>
    </row>
    <row r="175" spans="1:27" x14ac:dyDescent="0.25">
      <c r="A175" s="21" t="s">
        <v>337</v>
      </c>
      <c r="B175" s="21" t="s">
        <v>315</v>
      </c>
      <c r="C175" s="21" t="s">
        <v>315</v>
      </c>
      <c r="D175" s="21" t="s">
        <v>207</v>
      </c>
      <c r="E175" s="21" t="s">
        <v>207</v>
      </c>
      <c r="F175" s="21" t="s">
        <v>1868</v>
      </c>
      <c r="G175" s="21" t="s">
        <v>1869</v>
      </c>
      <c r="H175" s="21" t="s">
        <v>533</v>
      </c>
      <c r="I175" s="21" t="s">
        <v>1870</v>
      </c>
      <c r="J175" s="62">
        <v>44994</v>
      </c>
      <c r="K175" s="62">
        <v>44994</v>
      </c>
      <c r="L175" s="62">
        <v>29148</v>
      </c>
      <c r="M175" s="21" t="s">
        <v>319</v>
      </c>
      <c r="N175" s="21" t="s">
        <v>207</v>
      </c>
      <c r="O175" s="63">
        <v>217.78</v>
      </c>
      <c r="P175" s="21" t="s">
        <v>1103</v>
      </c>
      <c r="Q175" s="21" t="s">
        <v>675</v>
      </c>
      <c r="R175" s="21" t="s">
        <v>1871</v>
      </c>
      <c r="S175" s="21" t="s">
        <v>1125</v>
      </c>
      <c r="T175" s="21" t="s">
        <v>1126</v>
      </c>
      <c r="U175" s="21" t="s">
        <v>1127</v>
      </c>
      <c r="V175" s="21" t="s">
        <v>355</v>
      </c>
      <c r="W175" s="21" t="s">
        <v>1872</v>
      </c>
      <c r="X175" s="21" t="s">
        <v>375</v>
      </c>
      <c r="Z175">
        <v>0</v>
      </c>
      <c r="AA175">
        <v>0</v>
      </c>
    </row>
    <row r="176" spans="1:27" x14ac:dyDescent="0.25">
      <c r="A176" s="21" t="s">
        <v>502</v>
      </c>
      <c r="B176" s="21" t="s">
        <v>315</v>
      </c>
      <c r="C176" s="21" t="s">
        <v>315</v>
      </c>
      <c r="D176" s="21" t="s">
        <v>207</v>
      </c>
      <c r="E176" s="21" t="s">
        <v>207</v>
      </c>
      <c r="F176" s="21" t="s">
        <v>2003</v>
      </c>
      <c r="G176" s="21" t="s">
        <v>2004</v>
      </c>
      <c r="H176" s="21" t="s">
        <v>744</v>
      </c>
      <c r="I176" s="21" t="s">
        <v>2005</v>
      </c>
      <c r="J176" s="62">
        <v>41585</v>
      </c>
      <c r="K176" s="62">
        <v>41585</v>
      </c>
      <c r="L176" s="62">
        <v>30498</v>
      </c>
      <c r="M176" s="21" t="s">
        <v>319</v>
      </c>
      <c r="N176" s="21" t="s">
        <v>207</v>
      </c>
      <c r="O176" s="63">
        <v>217.78</v>
      </c>
      <c r="P176" s="21" t="s">
        <v>2006</v>
      </c>
      <c r="Q176" s="21" t="s">
        <v>2007</v>
      </c>
      <c r="R176" s="21" t="s">
        <v>2008</v>
      </c>
      <c r="S176" s="21" t="s">
        <v>1125</v>
      </c>
      <c r="T176" s="21" t="s">
        <v>1126</v>
      </c>
      <c r="U176" s="21" t="s">
        <v>1127</v>
      </c>
      <c r="V176" s="21" t="s">
        <v>370</v>
      </c>
      <c r="W176" s="21" t="s">
        <v>2009</v>
      </c>
      <c r="X176" s="21" t="s">
        <v>328</v>
      </c>
      <c r="Z176">
        <v>0</v>
      </c>
      <c r="AA176">
        <v>0</v>
      </c>
    </row>
    <row r="177" spans="1:27" x14ac:dyDescent="0.25">
      <c r="A177" s="21" t="s">
        <v>337</v>
      </c>
      <c r="B177" s="21" t="s">
        <v>315</v>
      </c>
      <c r="C177" s="21" t="s">
        <v>315</v>
      </c>
      <c r="D177" s="21" t="s">
        <v>207</v>
      </c>
      <c r="E177" s="21" t="s">
        <v>207</v>
      </c>
      <c r="F177" s="21" t="s">
        <v>2031</v>
      </c>
      <c r="G177" s="21" t="s">
        <v>2032</v>
      </c>
      <c r="H177" s="21" t="s">
        <v>596</v>
      </c>
      <c r="I177" s="21" t="s">
        <v>2033</v>
      </c>
      <c r="J177" s="62">
        <v>45505</v>
      </c>
      <c r="K177" s="62">
        <v>45505</v>
      </c>
      <c r="L177" s="62">
        <v>29796</v>
      </c>
      <c r="M177" s="21" t="s">
        <v>319</v>
      </c>
      <c r="N177" s="21" t="s">
        <v>207</v>
      </c>
      <c r="O177" s="63">
        <v>220.14</v>
      </c>
      <c r="P177" s="21" t="s">
        <v>333</v>
      </c>
      <c r="Q177" s="21" t="s">
        <v>493</v>
      </c>
      <c r="R177" s="21" t="s">
        <v>2034</v>
      </c>
      <c r="S177" s="21" t="s">
        <v>1125</v>
      </c>
      <c r="T177" s="21" t="s">
        <v>1126</v>
      </c>
      <c r="U177" s="21" t="s">
        <v>1127</v>
      </c>
      <c r="V177" s="21" t="s">
        <v>355</v>
      </c>
      <c r="W177" s="21" t="s">
        <v>2035</v>
      </c>
      <c r="X177" s="21" t="s">
        <v>375</v>
      </c>
      <c r="Z177">
        <v>0</v>
      </c>
      <c r="AA177">
        <v>0</v>
      </c>
    </row>
    <row r="178" spans="1:27" x14ac:dyDescent="0.25">
      <c r="A178" s="21" t="s">
        <v>444</v>
      </c>
      <c r="B178" s="21" t="s">
        <v>315</v>
      </c>
      <c r="C178" s="21" t="s">
        <v>315</v>
      </c>
      <c r="D178" s="21" t="s">
        <v>207</v>
      </c>
      <c r="E178" s="21" t="s">
        <v>207</v>
      </c>
      <c r="F178" s="21" t="s">
        <v>2058</v>
      </c>
      <c r="G178" s="21" t="s">
        <v>2059</v>
      </c>
      <c r="H178" s="21" t="s">
        <v>660</v>
      </c>
      <c r="I178" s="21" t="s">
        <v>2060</v>
      </c>
      <c r="J178" s="62">
        <v>44995</v>
      </c>
      <c r="K178" s="62">
        <v>44995</v>
      </c>
      <c r="L178" s="62">
        <v>27021</v>
      </c>
      <c r="M178" s="21" t="s">
        <v>319</v>
      </c>
      <c r="N178" s="21" t="s">
        <v>207</v>
      </c>
      <c r="O178" s="63">
        <v>209.88</v>
      </c>
      <c r="P178" s="21" t="s">
        <v>333</v>
      </c>
      <c r="Q178" s="21" t="s">
        <v>2061</v>
      </c>
      <c r="R178" s="21" t="s">
        <v>2062</v>
      </c>
      <c r="S178" s="21" t="s">
        <v>1125</v>
      </c>
      <c r="T178" s="21" t="s">
        <v>1126</v>
      </c>
      <c r="U178" s="21" t="s">
        <v>1127</v>
      </c>
      <c r="V178" s="21" t="s">
        <v>370</v>
      </c>
      <c r="W178" s="21" t="s">
        <v>2063</v>
      </c>
      <c r="X178" s="21" t="s">
        <v>375</v>
      </c>
      <c r="Z178">
        <v>0</v>
      </c>
      <c r="AA178">
        <v>0</v>
      </c>
    </row>
    <row r="179" spans="1:27" x14ac:dyDescent="0.25">
      <c r="A179" s="21" t="s">
        <v>444</v>
      </c>
      <c r="B179" s="21" t="s">
        <v>315</v>
      </c>
      <c r="C179" s="21" t="s">
        <v>315</v>
      </c>
      <c r="D179" s="21" t="s">
        <v>207</v>
      </c>
      <c r="E179" s="21" t="s">
        <v>207</v>
      </c>
      <c r="F179" s="21" t="s">
        <v>2108</v>
      </c>
      <c r="G179" s="21" t="s">
        <v>2109</v>
      </c>
      <c r="H179" s="21" t="s">
        <v>2110</v>
      </c>
      <c r="I179" s="21" t="s">
        <v>2111</v>
      </c>
      <c r="J179" s="62">
        <v>45166</v>
      </c>
      <c r="K179" s="62">
        <v>45166</v>
      </c>
      <c r="L179" s="62">
        <v>31805</v>
      </c>
      <c r="M179" s="21" t="s">
        <v>319</v>
      </c>
      <c r="N179" s="21" t="s">
        <v>207</v>
      </c>
      <c r="O179" s="63">
        <v>200</v>
      </c>
      <c r="P179" s="21" t="s">
        <v>478</v>
      </c>
      <c r="Q179" s="21" t="s">
        <v>531</v>
      </c>
      <c r="R179" s="21" t="s">
        <v>2112</v>
      </c>
      <c r="S179" s="21" t="s">
        <v>1125</v>
      </c>
      <c r="T179" s="21" t="s">
        <v>1126</v>
      </c>
      <c r="U179" s="21" t="s">
        <v>1127</v>
      </c>
      <c r="V179" s="21" t="s">
        <v>370</v>
      </c>
      <c r="W179" s="21" t="s">
        <v>2113</v>
      </c>
      <c r="X179" s="21" t="s">
        <v>328</v>
      </c>
      <c r="Z179">
        <v>0</v>
      </c>
      <c r="AA179">
        <v>0</v>
      </c>
    </row>
    <row r="180" spans="1:27" x14ac:dyDescent="0.25">
      <c r="A180" s="21" t="s">
        <v>713</v>
      </c>
      <c r="B180" s="21" t="s">
        <v>315</v>
      </c>
      <c r="C180" s="21" t="s">
        <v>315</v>
      </c>
      <c r="D180" s="21" t="s">
        <v>207</v>
      </c>
      <c r="E180" s="21" t="s">
        <v>207</v>
      </c>
      <c r="F180" s="21" t="s">
        <v>2135</v>
      </c>
      <c r="G180" s="21" t="s">
        <v>2136</v>
      </c>
      <c r="H180" s="21" t="s">
        <v>625</v>
      </c>
      <c r="I180" s="21" t="s">
        <v>619</v>
      </c>
      <c r="J180" s="62">
        <v>43712</v>
      </c>
      <c r="K180" s="62">
        <v>43712</v>
      </c>
      <c r="L180" s="62">
        <v>29711</v>
      </c>
      <c r="M180" s="21" t="s">
        <v>319</v>
      </c>
      <c r="N180" s="21" t="s">
        <v>207</v>
      </c>
      <c r="O180" s="63">
        <v>217.78</v>
      </c>
      <c r="P180" s="21" t="s">
        <v>2137</v>
      </c>
      <c r="Q180" s="21" t="s">
        <v>353</v>
      </c>
      <c r="R180" s="21" t="s">
        <v>2138</v>
      </c>
      <c r="S180" s="21" t="s">
        <v>1125</v>
      </c>
      <c r="T180" s="21" t="s">
        <v>1126</v>
      </c>
      <c r="U180" s="21" t="s">
        <v>1127</v>
      </c>
      <c r="V180" s="21" t="s">
        <v>326</v>
      </c>
      <c r="W180" s="21" t="s">
        <v>2139</v>
      </c>
      <c r="X180" s="21" t="s">
        <v>328</v>
      </c>
      <c r="Z180">
        <v>0</v>
      </c>
      <c r="AA180">
        <v>0</v>
      </c>
    </row>
    <row r="181" spans="1:27" x14ac:dyDescent="0.25">
      <c r="A181" s="21" t="s">
        <v>337</v>
      </c>
      <c r="B181" s="21" t="s">
        <v>315</v>
      </c>
      <c r="C181" s="21" t="s">
        <v>315</v>
      </c>
      <c r="D181" s="21" t="s">
        <v>207</v>
      </c>
      <c r="E181" s="21" t="s">
        <v>207</v>
      </c>
      <c r="F181" s="21" t="s">
        <v>2147</v>
      </c>
      <c r="G181" s="21" t="s">
        <v>2148</v>
      </c>
      <c r="H181" s="21" t="s">
        <v>2149</v>
      </c>
      <c r="I181" s="21" t="s">
        <v>2150</v>
      </c>
      <c r="J181" s="62">
        <v>43489</v>
      </c>
      <c r="K181" s="62">
        <v>43489</v>
      </c>
      <c r="L181" s="62">
        <v>26495</v>
      </c>
      <c r="M181" s="21" t="s">
        <v>319</v>
      </c>
      <c r="N181" s="21" t="s">
        <v>207</v>
      </c>
      <c r="O181" s="63">
        <v>201.8</v>
      </c>
      <c r="P181" s="21" t="s">
        <v>2151</v>
      </c>
      <c r="Q181" s="21" t="s">
        <v>358</v>
      </c>
      <c r="R181" s="21" t="s">
        <v>2152</v>
      </c>
      <c r="S181" s="21" t="s">
        <v>1125</v>
      </c>
      <c r="T181" s="21" t="s">
        <v>1126</v>
      </c>
      <c r="U181" s="21" t="s">
        <v>1127</v>
      </c>
      <c r="V181" s="21" t="s">
        <v>326</v>
      </c>
      <c r="W181" s="21" t="s">
        <v>2153</v>
      </c>
      <c r="X181" s="21" t="s">
        <v>328</v>
      </c>
      <c r="Z181">
        <v>0</v>
      </c>
      <c r="AA181">
        <v>0</v>
      </c>
    </row>
    <row r="182" spans="1:27" x14ac:dyDescent="0.25">
      <c r="A182" s="21" t="s">
        <v>329</v>
      </c>
      <c r="B182" s="21" t="s">
        <v>315</v>
      </c>
      <c r="C182" s="21" t="s">
        <v>315</v>
      </c>
      <c r="D182" s="21" t="s">
        <v>207</v>
      </c>
      <c r="E182" s="21" t="s">
        <v>207</v>
      </c>
      <c r="F182" s="21" t="s">
        <v>2154</v>
      </c>
      <c r="G182" s="21" t="s">
        <v>2155</v>
      </c>
      <c r="H182" s="21" t="s">
        <v>1482</v>
      </c>
      <c r="I182" s="21" t="s">
        <v>2156</v>
      </c>
      <c r="J182" s="62">
        <v>44743</v>
      </c>
      <c r="K182" s="62">
        <v>44743</v>
      </c>
      <c r="L182" s="62">
        <v>25379</v>
      </c>
      <c r="M182" s="21" t="s">
        <v>319</v>
      </c>
      <c r="N182" s="21" t="s">
        <v>207</v>
      </c>
      <c r="O182" s="63">
        <v>208.89</v>
      </c>
      <c r="P182" s="21" t="s">
        <v>2157</v>
      </c>
      <c r="Q182" s="21" t="s">
        <v>473</v>
      </c>
      <c r="R182" s="21" t="s">
        <v>2158</v>
      </c>
      <c r="S182" s="21" t="s">
        <v>323</v>
      </c>
      <c r="T182" s="21" t="s">
        <v>324</v>
      </c>
      <c r="U182" s="21" t="s">
        <v>325</v>
      </c>
      <c r="V182" s="21" t="s">
        <v>355</v>
      </c>
      <c r="W182" s="21" t="s">
        <v>2159</v>
      </c>
      <c r="X182" s="21" t="s">
        <v>375</v>
      </c>
      <c r="Z182">
        <v>0</v>
      </c>
      <c r="AA182">
        <v>0</v>
      </c>
    </row>
    <row r="183" spans="1:27" x14ac:dyDescent="0.25">
      <c r="A183" s="21" t="s">
        <v>329</v>
      </c>
      <c r="B183" s="21" t="s">
        <v>315</v>
      </c>
      <c r="C183" s="21" t="s">
        <v>315</v>
      </c>
      <c r="D183" s="21" t="s">
        <v>207</v>
      </c>
      <c r="E183" s="21" t="s">
        <v>207</v>
      </c>
      <c r="F183" s="21" t="s">
        <v>2204</v>
      </c>
      <c r="G183" s="21" t="s">
        <v>2205</v>
      </c>
      <c r="H183" s="21" t="s">
        <v>469</v>
      </c>
      <c r="I183" s="21" t="s">
        <v>730</v>
      </c>
      <c r="J183" s="62">
        <v>45547</v>
      </c>
      <c r="K183" s="62">
        <v>45547</v>
      </c>
      <c r="L183" s="62">
        <v>33775</v>
      </c>
      <c r="M183" s="21" t="s">
        <v>319</v>
      </c>
      <c r="N183" s="21" t="s">
        <v>207</v>
      </c>
      <c r="O183" s="63">
        <v>212.8</v>
      </c>
      <c r="P183" s="21" t="s">
        <v>2206</v>
      </c>
      <c r="Q183" s="21" t="s">
        <v>2207</v>
      </c>
      <c r="R183" s="21" t="s">
        <v>2208</v>
      </c>
      <c r="S183" s="21" t="s">
        <v>1125</v>
      </c>
      <c r="T183" s="21" t="s">
        <v>1126</v>
      </c>
      <c r="U183" s="21" t="s">
        <v>1127</v>
      </c>
      <c r="V183" s="21" t="s">
        <v>326</v>
      </c>
      <c r="W183" s="21" t="s">
        <v>2209</v>
      </c>
      <c r="X183" s="21" t="s">
        <v>328</v>
      </c>
      <c r="Z183">
        <v>0</v>
      </c>
      <c r="AA183">
        <v>0</v>
      </c>
    </row>
    <row r="184" spans="1:27" x14ac:dyDescent="0.25">
      <c r="A184" s="21" t="s">
        <v>337</v>
      </c>
      <c r="B184" s="21" t="s">
        <v>315</v>
      </c>
      <c r="C184" s="21" t="s">
        <v>315</v>
      </c>
      <c r="D184" s="21" t="s">
        <v>207</v>
      </c>
      <c r="E184" s="21" t="s">
        <v>207</v>
      </c>
      <c r="F184" s="21" t="s">
        <v>2216</v>
      </c>
      <c r="G184" s="21" t="s">
        <v>2217</v>
      </c>
      <c r="H184" s="21" t="s">
        <v>411</v>
      </c>
      <c r="I184" s="21" t="s">
        <v>1048</v>
      </c>
      <c r="J184" s="62">
        <v>43497</v>
      </c>
      <c r="K184" s="62">
        <v>43497</v>
      </c>
      <c r="L184" s="62">
        <v>29463</v>
      </c>
      <c r="M184" s="21" t="s">
        <v>319</v>
      </c>
      <c r="N184" s="21" t="s">
        <v>207</v>
      </c>
      <c r="O184" s="63">
        <v>193.73</v>
      </c>
      <c r="P184" s="21" t="s">
        <v>2218</v>
      </c>
      <c r="Q184" s="21" t="s">
        <v>2219</v>
      </c>
      <c r="R184" s="21" t="s">
        <v>2220</v>
      </c>
      <c r="S184" s="21" t="s">
        <v>1125</v>
      </c>
      <c r="T184" s="21" t="s">
        <v>1126</v>
      </c>
      <c r="U184" s="21" t="s">
        <v>477</v>
      </c>
      <c r="V184" s="21" t="s">
        <v>355</v>
      </c>
      <c r="W184" s="21" t="s">
        <v>2221</v>
      </c>
      <c r="X184" s="21" t="s">
        <v>328</v>
      </c>
      <c r="Z184">
        <v>0</v>
      </c>
      <c r="AA184">
        <v>0</v>
      </c>
    </row>
    <row r="185" spans="1:27" x14ac:dyDescent="0.25">
      <c r="A185" s="21" t="s">
        <v>337</v>
      </c>
      <c r="B185" s="21" t="s">
        <v>315</v>
      </c>
      <c r="C185" s="21" t="s">
        <v>315</v>
      </c>
      <c r="D185" s="21" t="s">
        <v>207</v>
      </c>
      <c r="E185" s="21" t="s">
        <v>223</v>
      </c>
      <c r="F185" s="21" t="s">
        <v>1135</v>
      </c>
      <c r="G185" s="21" t="s">
        <v>1136</v>
      </c>
      <c r="H185" s="21" t="s">
        <v>1137</v>
      </c>
      <c r="I185" s="21" t="s">
        <v>1138</v>
      </c>
      <c r="J185" s="62">
        <v>44830</v>
      </c>
      <c r="K185" s="62">
        <v>44830</v>
      </c>
      <c r="L185" s="62">
        <v>30952</v>
      </c>
      <c r="M185" s="21" t="s">
        <v>319</v>
      </c>
      <c r="N185" s="21" t="s">
        <v>207</v>
      </c>
      <c r="O185" s="63">
        <v>217.93</v>
      </c>
      <c r="P185" s="21" t="s">
        <v>957</v>
      </c>
      <c r="Q185" s="21" t="s">
        <v>1139</v>
      </c>
      <c r="R185" s="21" t="s">
        <v>1140</v>
      </c>
      <c r="S185" s="21" t="s">
        <v>1125</v>
      </c>
      <c r="T185" s="21" t="s">
        <v>1126</v>
      </c>
      <c r="U185" s="21" t="s">
        <v>1141</v>
      </c>
      <c r="V185" s="21" t="s">
        <v>355</v>
      </c>
      <c r="W185" s="21" t="s">
        <v>1142</v>
      </c>
      <c r="X185" s="21" t="s">
        <v>375</v>
      </c>
      <c r="Z185">
        <v>0</v>
      </c>
      <c r="AA185">
        <v>0</v>
      </c>
    </row>
    <row r="186" spans="1:27" x14ac:dyDescent="0.25">
      <c r="A186" s="21" t="s">
        <v>713</v>
      </c>
      <c r="B186" s="21" t="s">
        <v>315</v>
      </c>
      <c r="C186" s="21" t="s">
        <v>315</v>
      </c>
      <c r="D186" s="21" t="s">
        <v>240</v>
      </c>
      <c r="E186" s="21" t="s">
        <v>223</v>
      </c>
      <c r="F186" s="21" t="s">
        <v>1311</v>
      </c>
      <c r="G186" s="21" t="s">
        <v>1312</v>
      </c>
      <c r="H186" s="21" t="s">
        <v>828</v>
      </c>
      <c r="I186" s="21" t="s">
        <v>1313</v>
      </c>
      <c r="J186" s="62">
        <v>44994</v>
      </c>
      <c r="K186" s="62">
        <v>45757</v>
      </c>
      <c r="L186" s="62">
        <v>27144</v>
      </c>
      <c r="M186" s="21" t="s">
        <v>319</v>
      </c>
      <c r="N186" s="21" t="s">
        <v>240</v>
      </c>
      <c r="O186" s="63">
        <v>75000</v>
      </c>
      <c r="P186" s="21" t="s">
        <v>1314</v>
      </c>
      <c r="Q186" s="21" t="s">
        <v>675</v>
      </c>
      <c r="R186" s="21" t="s">
        <v>1315</v>
      </c>
      <c r="S186" s="21" t="s">
        <v>636</v>
      </c>
      <c r="T186" s="21" t="s">
        <v>637</v>
      </c>
      <c r="U186" s="21" t="s">
        <v>678</v>
      </c>
      <c r="V186" s="21" t="s">
        <v>370</v>
      </c>
      <c r="W186" s="21" t="s">
        <v>1316</v>
      </c>
      <c r="X186" s="21" t="s">
        <v>375</v>
      </c>
      <c r="Z186">
        <v>0</v>
      </c>
      <c r="AA186">
        <v>0</v>
      </c>
    </row>
    <row r="187" spans="1:27" x14ac:dyDescent="0.25">
      <c r="A187" s="21" t="s">
        <v>314</v>
      </c>
      <c r="B187" s="21" t="s">
        <v>315</v>
      </c>
      <c r="C187" s="21" t="s">
        <v>315</v>
      </c>
      <c r="D187" s="21" t="s">
        <v>207</v>
      </c>
      <c r="E187" s="21" t="s">
        <v>223</v>
      </c>
      <c r="F187" s="21" t="s">
        <v>1609</v>
      </c>
      <c r="G187" s="21" t="s">
        <v>1610</v>
      </c>
      <c r="H187" s="21" t="s">
        <v>353</v>
      </c>
      <c r="I187" s="21" t="s">
        <v>741</v>
      </c>
      <c r="J187" s="62">
        <v>44995</v>
      </c>
      <c r="K187" s="62">
        <v>45757</v>
      </c>
      <c r="L187" s="62">
        <v>27714</v>
      </c>
      <c r="M187" s="21" t="s">
        <v>319</v>
      </c>
      <c r="N187" s="21" t="s">
        <v>207</v>
      </c>
      <c r="O187" s="63">
        <v>219.04</v>
      </c>
      <c r="P187" s="21" t="s">
        <v>1236</v>
      </c>
      <c r="Q187" s="21" t="s">
        <v>321</v>
      </c>
      <c r="R187" s="21" t="s">
        <v>1611</v>
      </c>
      <c r="S187" s="21" t="s">
        <v>1125</v>
      </c>
      <c r="T187" s="21" t="s">
        <v>1126</v>
      </c>
      <c r="U187" s="21" t="s">
        <v>1141</v>
      </c>
      <c r="V187" s="21" t="s">
        <v>370</v>
      </c>
      <c r="W187" s="21" t="s">
        <v>1612</v>
      </c>
      <c r="X187" s="21" t="s">
        <v>375</v>
      </c>
      <c r="Z187">
        <v>0</v>
      </c>
      <c r="AA187">
        <v>0</v>
      </c>
    </row>
    <row r="188" spans="1:27" x14ac:dyDescent="0.25">
      <c r="A188" s="21" t="s">
        <v>337</v>
      </c>
      <c r="B188" s="21" t="s">
        <v>315</v>
      </c>
      <c r="C188" s="21" t="s">
        <v>315</v>
      </c>
      <c r="D188" s="21" t="s">
        <v>207</v>
      </c>
      <c r="E188" s="21" t="s">
        <v>223</v>
      </c>
      <c r="F188" s="21" t="s">
        <v>1873</v>
      </c>
      <c r="G188" s="21" t="s">
        <v>1874</v>
      </c>
      <c r="H188" s="21" t="s">
        <v>533</v>
      </c>
      <c r="I188" s="21" t="s">
        <v>1875</v>
      </c>
      <c r="J188" s="62">
        <v>45257</v>
      </c>
      <c r="K188" s="62">
        <v>45757</v>
      </c>
      <c r="L188" s="62">
        <v>27921</v>
      </c>
      <c r="M188" s="21" t="s">
        <v>319</v>
      </c>
      <c r="N188" s="21" t="s">
        <v>207</v>
      </c>
      <c r="O188" s="63">
        <v>198.98</v>
      </c>
      <c r="P188" s="21" t="s">
        <v>333</v>
      </c>
      <c r="Q188" s="21" t="s">
        <v>1428</v>
      </c>
      <c r="R188" s="21" t="s">
        <v>1876</v>
      </c>
      <c r="S188" s="21" t="s">
        <v>549</v>
      </c>
      <c r="T188" s="21" t="s">
        <v>550</v>
      </c>
      <c r="U188" s="21" t="s">
        <v>1877</v>
      </c>
      <c r="V188" s="21" t="s">
        <v>370</v>
      </c>
      <c r="W188" s="21" t="s">
        <v>1878</v>
      </c>
      <c r="X188" s="21" t="s">
        <v>375</v>
      </c>
      <c r="Z188">
        <v>0</v>
      </c>
      <c r="AA188">
        <v>0</v>
      </c>
    </row>
    <row r="189" spans="1:27" x14ac:dyDescent="0.25">
      <c r="A189" s="21" t="s">
        <v>329</v>
      </c>
      <c r="B189" s="21" t="s">
        <v>315</v>
      </c>
      <c r="C189" s="21" t="s">
        <v>315</v>
      </c>
      <c r="D189" s="21" t="s">
        <v>207</v>
      </c>
      <c r="E189" s="21" t="s">
        <v>223</v>
      </c>
      <c r="F189" s="21" t="s">
        <v>1879</v>
      </c>
      <c r="G189" s="21" t="s">
        <v>1880</v>
      </c>
      <c r="H189" s="21" t="s">
        <v>555</v>
      </c>
      <c r="I189" s="21" t="s">
        <v>1881</v>
      </c>
      <c r="J189" s="62">
        <v>45582</v>
      </c>
      <c r="K189" s="62">
        <v>45757</v>
      </c>
      <c r="L189" s="62">
        <v>24860</v>
      </c>
      <c r="M189" s="21" t="s">
        <v>319</v>
      </c>
      <c r="N189" s="21" t="s">
        <v>207</v>
      </c>
      <c r="O189" s="63">
        <v>205.47</v>
      </c>
      <c r="P189" s="21" t="s">
        <v>708</v>
      </c>
      <c r="Q189" s="21" t="s">
        <v>531</v>
      </c>
      <c r="R189" s="21" t="s">
        <v>1882</v>
      </c>
      <c r="S189" s="21" t="s">
        <v>1434</v>
      </c>
      <c r="T189" s="21" t="s">
        <v>1435</v>
      </c>
      <c r="U189" s="21" t="s">
        <v>1883</v>
      </c>
      <c r="V189" s="21" t="s">
        <v>326</v>
      </c>
      <c r="W189" s="21" t="s">
        <v>1884</v>
      </c>
      <c r="X189" s="21" t="s">
        <v>375</v>
      </c>
      <c r="Z189">
        <v>0</v>
      </c>
      <c r="AA189">
        <v>0</v>
      </c>
    </row>
    <row r="190" spans="1:27" x14ac:dyDescent="0.25">
      <c r="A190" s="21" t="s">
        <v>329</v>
      </c>
      <c r="B190" s="21" t="s">
        <v>315</v>
      </c>
      <c r="C190" s="21" t="s">
        <v>315</v>
      </c>
      <c r="D190" s="21" t="s">
        <v>207</v>
      </c>
      <c r="E190" s="21" t="s">
        <v>223</v>
      </c>
      <c r="F190" s="21" t="s">
        <v>2140</v>
      </c>
      <c r="G190" s="21" t="s">
        <v>2141</v>
      </c>
      <c r="H190" s="21" t="s">
        <v>2142</v>
      </c>
      <c r="I190" s="21" t="s">
        <v>367</v>
      </c>
      <c r="J190" s="62">
        <v>45210</v>
      </c>
      <c r="K190" s="62">
        <v>45757</v>
      </c>
      <c r="L190" s="62">
        <v>26207</v>
      </c>
      <c r="M190" s="21" t="s">
        <v>319</v>
      </c>
      <c r="N190" s="21" t="s">
        <v>207</v>
      </c>
      <c r="O190" s="63">
        <v>221.98</v>
      </c>
      <c r="P190" s="21" t="s">
        <v>2143</v>
      </c>
      <c r="Q190" s="21" t="s">
        <v>2144</v>
      </c>
      <c r="R190" s="21" t="s">
        <v>2145</v>
      </c>
      <c r="S190" s="21" t="s">
        <v>1125</v>
      </c>
      <c r="T190" s="21" t="s">
        <v>1126</v>
      </c>
      <c r="U190" s="21" t="s">
        <v>1141</v>
      </c>
      <c r="V190" s="21" t="s">
        <v>370</v>
      </c>
      <c r="W190" s="21" t="s">
        <v>2146</v>
      </c>
      <c r="X190" s="21" t="s">
        <v>375</v>
      </c>
      <c r="Z190">
        <v>0</v>
      </c>
      <c r="AA190">
        <v>0</v>
      </c>
    </row>
    <row r="191" spans="1:27" x14ac:dyDescent="0.25">
      <c r="A191" s="21" t="s">
        <v>444</v>
      </c>
      <c r="B191" s="21" t="s">
        <v>315</v>
      </c>
      <c r="C191" s="21" t="s">
        <v>315</v>
      </c>
      <c r="D191" s="21" t="s">
        <v>207</v>
      </c>
      <c r="E191" s="21" t="s">
        <v>223</v>
      </c>
      <c r="F191" s="21" t="s">
        <v>2210</v>
      </c>
      <c r="G191" s="21" t="s">
        <v>2211</v>
      </c>
      <c r="H191" s="21" t="s">
        <v>469</v>
      </c>
      <c r="I191" s="21" t="s">
        <v>2212</v>
      </c>
      <c r="J191" s="62">
        <v>44994</v>
      </c>
      <c r="K191" s="62">
        <v>45757</v>
      </c>
      <c r="L191" s="62">
        <v>28502</v>
      </c>
      <c r="M191" s="21" t="s">
        <v>319</v>
      </c>
      <c r="N191" s="21" t="s">
        <v>207</v>
      </c>
      <c r="O191" s="63">
        <v>217.93</v>
      </c>
      <c r="P191" s="21" t="s">
        <v>2213</v>
      </c>
      <c r="Q191" s="21" t="s">
        <v>759</v>
      </c>
      <c r="R191" s="21" t="s">
        <v>2214</v>
      </c>
      <c r="S191" s="21" t="s">
        <v>1125</v>
      </c>
      <c r="T191" s="21" t="s">
        <v>1126</v>
      </c>
      <c r="U191" s="21" t="s">
        <v>1141</v>
      </c>
      <c r="V191" s="21" t="s">
        <v>370</v>
      </c>
      <c r="W191" s="21" t="s">
        <v>2215</v>
      </c>
      <c r="X191" s="21" t="s">
        <v>375</v>
      </c>
      <c r="Z191">
        <v>0</v>
      </c>
      <c r="AA191">
        <v>0</v>
      </c>
    </row>
    <row r="192" spans="1:27" x14ac:dyDescent="0.25">
      <c r="A192" s="21" t="s">
        <v>314</v>
      </c>
      <c r="B192" s="21" t="s">
        <v>315</v>
      </c>
      <c r="C192" s="21" t="s">
        <v>315</v>
      </c>
      <c r="D192" s="21" t="s">
        <v>240</v>
      </c>
      <c r="E192" s="21" t="s">
        <v>210</v>
      </c>
      <c r="F192" s="21" t="s">
        <v>1200</v>
      </c>
      <c r="G192" s="21" t="s">
        <v>1201</v>
      </c>
      <c r="H192" s="21" t="s">
        <v>1193</v>
      </c>
      <c r="I192" s="21" t="s">
        <v>1202</v>
      </c>
      <c r="J192" s="62">
        <v>43349</v>
      </c>
      <c r="K192" s="62">
        <v>43349</v>
      </c>
      <c r="L192" s="62">
        <v>26543</v>
      </c>
      <c r="M192" s="21" t="s">
        <v>341</v>
      </c>
      <c r="N192" s="21" t="s">
        <v>240</v>
      </c>
      <c r="O192" s="63">
        <v>81250</v>
      </c>
      <c r="P192" s="21" t="s">
        <v>1203</v>
      </c>
      <c r="Q192" s="21" t="s">
        <v>1204</v>
      </c>
      <c r="R192" s="21"/>
      <c r="S192" s="21" t="s">
        <v>1132</v>
      </c>
      <c r="T192" s="21" t="s">
        <v>1133</v>
      </c>
      <c r="U192" s="21" t="s">
        <v>1134</v>
      </c>
      <c r="V192" s="21" t="s">
        <v>326</v>
      </c>
      <c r="W192" s="21" t="s">
        <v>1205</v>
      </c>
      <c r="X192" s="21" t="s">
        <v>375</v>
      </c>
      <c r="Z192">
        <v>0</v>
      </c>
      <c r="AA192">
        <v>0</v>
      </c>
    </row>
    <row r="193" spans="1:27" x14ac:dyDescent="0.25">
      <c r="A193" s="21" t="s">
        <v>337</v>
      </c>
      <c r="B193" s="21" t="s">
        <v>315</v>
      </c>
      <c r="C193" s="21" t="s">
        <v>315</v>
      </c>
      <c r="D193" s="21" t="s">
        <v>240</v>
      </c>
      <c r="E193" s="21" t="s">
        <v>210</v>
      </c>
      <c r="F193" s="21" t="s">
        <v>1212</v>
      </c>
      <c r="G193" s="21" t="s">
        <v>1213</v>
      </c>
      <c r="H193" s="21" t="s">
        <v>1214</v>
      </c>
      <c r="I193" s="21" t="s">
        <v>1215</v>
      </c>
      <c r="J193" s="62">
        <v>43497</v>
      </c>
      <c r="K193" s="62">
        <v>43497</v>
      </c>
      <c r="L193" s="62">
        <v>30266</v>
      </c>
      <c r="M193" s="21" t="s">
        <v>341</v>
      </c>
      <c r="N193" s="21" t="s">
        <v>240</v>
      </c>
      <c r="O193" s="63">
        <v>81250</v>
      </c>
      <c r="P193" s="21" t="s">
        <v>1216</v>
      </c>
      <c r="Q193" s="21" t="s">
        <v>1217</v>
      </c>
      <c r="R193" s="21"/>
      <c r="S193" s="21" t="s">
        <v>1132</v>
      </c>
      <c r="T193" s="21" t="s">
        <v>1133</v>
      </c>
      <c r="U193" s="21" t="s">
        <v>1134</v>
      </c>
      <c r="V193" s="21" t="s">
        <v>355</v>
      </c>
      <c r="W193" s="21" t="s">
        <v>1218</v>
      </c>
      <c r="X193" s="21" t="s">
        <v>328</v>
      </c>
      <c r="Z193">
        <v>0</v>
      </c>
      <c r="AA193">
        <v>0</v>
      </c>
    </row>
    <row r="194" spans="1:27" x14ac:dyDescent="0.25">
      <c r="A194" s="21" t="s">
        <v>314</v>
      </c>
      <c r="B194" s="21" t="s">
        <v>315</v>
      </c>
      <c r="C194" s="21" t="s">
        <v>315</v>
      </c>
      <c r="D194" s="21" t="s">
        <v>240</v>
      </c>
      <c r="E194" s="21" t="s">
        <v>210</v>
      </c>
      <c r="F194" s="21" t="s">
        <v>1241</v>
      </c>
      <c r="G194" s="21" t="s">
        <v>1242</v>
      </c>
      <c r="H194" s="21" t="s">
        <v>339</v>
      </c>
      <c r="I194" s="21" t="s">
        <v>1243</v>
      </c>
      <c r="J194" s="62">
        <v>44991</v>
      </c>
      <c r="K194" s="62">
        <v>44991</v>
      </c>
      <c r="L194" s="62">
        <v>30553</v>
      </c>
      <c r="M194" s="21" t="s">
        <v>341</v>
      </c>
      <c r="N194" s="21" t="s">
        <v>240</v>
      </c>
      <c r="O194" s="63">
        <v>49580</v>
      </c>
      <c r="P194" s="21" t="s">
        <v>740</v>
      </c>
      <c r="Q194" s="21" t="s">
        <v>1204</v>
      </c>
      <c r="R194" s="21" t="s">
        <v>1244</v>
      </c>
      <c r="S194" s="21" t="s">
        <v>1129</v>
      </c>
      <c r="T194" s="21" t="s">
        <v>1130</v>
      </c>
      <c r="U194" s="21" t="s">
        <v>1131</v>
      </c>
      <c r="V194" s="21" t="s">
        <v>355</v>
      </c>
      <c r="W194" s="21" t="s">
        <v>1245</v>
      </c>
      <c r="X194" s="21" t="s">
        <v>375</v>
      </c>
      <c r="Z194">
        <v>0</v>
      </c>
      <c r="AA194">
        <v>0</v>
      </c>
    </row>
    <row r="195" spans="1:27" x14ac:dyDescent="0.25">
      <c r="A195" s="21" t="s">
        <v>329</v>
      </c>
      <c r="B195" s="21" t="s">
        <v>315</v>
      </c>
      <c r="C195" s="21" t="s">
        <v>315</v>
      </c>
      <c r="D195" s="21" t="s">
        <v>240</v>
      </c>
      <c r="E195" s="21" t="s">
        <v>210</v>
      </c>
      <c r="F195" s="21" t="s">
        <v>1287</v>
      </c>
      <c r="G195" s="21" t="s">
        <v>1288</v>
      </c>
      <c r="H195" s="21" t="s">
        <v>1280</v>
      </c>
      <c r="I195" s="21" t="s">
        <v>619</v>
      </c>
      <c r="J195" s="62">
        <v>45768</v>
      </c>
      <c r="K195" s="62">
        <v>45768</v>
      </c>
      <c r="L195" s="62">
        <v>30209</v>
      </c>
      <c r="M195" s="21" t="s">
        <v>341</v>
      </c>
      <c r="N195" s="21" t="s">
        <v>240</v>
      </c>
      <c r="O195" s="63">
        <v>77500</v>
      </c>
      <c r="P195" s="21" t="s">
        <v>1289</v>
      </c>
      <c r="Q195" s="21" t="s">
        <v>1290</v>
      </c>
      <c r="R195" s="21" t="s">
        <v>1291</v>
      </c>
      <c r="S195" s="21" t="s">
        <v>1292</v>
      </c>
      <c r="T195" s="21" t="s">
        <v>1293</v>
      </c>
      <c r="U195" s="21" t="s">
        <v>1294</v>
      </c>
      <c r="V195" s="21" t="s">
        <v>666</v>
      </c>
      <c r="W195" s="21" t="s">
        <v>1295</v>
      </c>
      <c r="X195" s="21" t="s">
        <v>328</v>
      </c>
      <c r="Z195">
        <v>0</v>
      </c>
      <c r="AA195">
        <v>0</v>
      </c>
    </row>
    <row r="196" spans="1:27" x14ac:dyDescent="0.25">
      <c r="A196" s="21" t="s">
        <v>329</v>
      </c>
      <c r="B196" s="21" t="s">
        <v>315</v>
      </c>
      <c r="C196" s="21" t="s">
        <v>315</v>
      </c>
      <c r="D196" s="21" t="s">
        <v>240</v>
      </c>
      <c r="E196" s="21" t="s">
        <v>210</v>
      </c>
      <c r="F196" s="21" t="s">
        <v>1339</v>
      </c>
      <c r="G196" s="21" t="s">
        <v>1340</v>
      </c>
      <c r="H196" s="21" t="s">
        <v>1341</v>
      </c>
      <c r="I196" s="21" t="s">
        <v>730</v>
      </c>
      <c r="J196" s="62">
        <v>44767</v>
      </c>
      <c r="K196" s="62">
        <v>44767</v>
      </c>
      <c r="L196" s="62">
        <v>37748</v>
      </c>
      <c r="M196" s="21" t="s">
        <v>341</v>
      </c>
      <c r="N196" s="21" t="s">
        <v>240</v>
      </c>
      <c r="O196" s="63">
        <v>39230</v>
      </c>
      <c r="P196" s="21" t="s">
        <v>1342</v>
      </c>
      <c r="Q196" s="21" t="s">
        <v>736</v>
      </c>
      <c r="R196" s="21" t="s">
        <v>1343</v>
      </c>
      <c r="S196" s="21" t="s">
        <v>1129</v>
      </c>
      <c r="T196" s="21" t="s">
        <v>1130</v>
      </c>
      <c r="U196" s="21" t="s">
        <v>1131</v>
      </c>
      <c r="V196" s="21" t="s">
        <v>355</v>
      </c>
      <c r="W196" s="21" t="s">
        <v>1344</v>
      </c>
      <c r="X196" s="21" t="s">
        <v>328</v>
      </c>
      <c r="Z196">
        <v>0</v>
      </c>
      <c r="AA196">
        <v>0</v>
      </c>
    </row>
    <row r="197" spans="1:27" x14ac:dyDescent="0.25">
      <c r="A197" s="21" t="s">
        <v>329</v>
      </c>
      <c r="B197" s="21" t="s">
        <v>315</v>
      </c>
      <c r="C197" s="21" t="s">
        <v>315</v>
      </c>
      <c r="D197" s="21" t="s">
        <v>228</v>
      </c>
      <c r="E197" s="21" t="s">
        <v>210</v>
      </c>
      <c r="F197" s="21" t="s">
        <v>1391</v>
      </c>
      <c r="G197" s="21" t="s">
        <v>1392</v>
      </c>
      <c r="H197" s="21" t="s">
        <v>728</v>
      </c>
      <c r="I197" s="21" t="s">
        <v>739</v>
      </c>
      <c r="J197" s="62">
        <v>46043</v>
      </c>
      <c r="K197" s="62">
        <v>46043</v>
      </c>
      <c r="L197" s="62">
        <v>31673</v>
      </c>
      <c r="M197" s="21" t="s">
        <v>341</v>
      </c>
      <c r="N197" s="21" t="s">
        <v>228</v>
      </c>
      <c r="O197" s="63">
        <v>80000</v>
      </c>
      <c r="P197" s="21" t="s">
        <v>1393</v>
      </c>
      <c r="Q197" s="21" t="s">
        <v>493</v>
      </c>
      <c r="R197" s="21" t="s">
        <v>1394</v>
      </c>
      <c r="S197" s="21" t="s">
        <v>1132</v>
      </c>
      <c r="T197" s="21" t="s">
        <v>1133</v>
      </c>
      <c r="U197" s="21" t="s">
        <v>1395</v>
      </c>
      <c r="V197" s="21" t="s">
        <v>326</v>
      </c>
      <c r="W197" s="21" t="s">
        <v>1396</v>
      </c>
      <c r="X197" s="21" t="s">
        <v>328</v>
      </c>
      <c r="Z197">
        <v>0</v>
      </c>
      <c r="AA197">
        <v>0</v>
      </c>
    </row>
    <row r="198" spans="1:27" x14ac:dyDescent="0.25">
      <c r="A198" s="21" t="s">
        <v>337</v>
      </c>
      <c r="B198" s="21" t="s">
        <v>315</v>
      </c>
      <c r="C198" s="21" t="s">
        <v>315</v>
      </c>
      <c r="D198" s="21" t="s">
        <v>228</v>
      </c>
      <c r="E198" s="21" t="s">
        <v>210</v>
      </c>
      <c r="F198" s="21" t="s">
        <v>1460</v>
      </c>
      <c r="G198" s="21" t="s">
        <v>1461</v>
      </c>
      <c r="H198" s="21" t="s">
        <v>425</v>
      </c>
      <c r="I198" s="21" t="s">
        <v>1462</v>
      </c>
      <c r="J198" s="62">
        <v>43752</v>
      </c>
      <c r="K198" s="62">
        <v>43752</v>
      </c>
      <c r="L198" s="62">
        <v>25324</v>
      </c>
      <c r="M198" s="21" t="s">
        <v>341</v>
      </c>
      <c r="N198" s="21" t="s">
        <v>228</v>
      </c>
      <c r="O198" s="63">
        <v>87500</v>
      </c>
      <c r="P198" s="21" t="s">
        <v>1463</v>
      </c>
      <c r="Q198" s="21" t="s">
        <v>404</v>
      </c>
      <c r="R198" s="21"/>
      <c r="S198" s="21" t="s">
        <v>1132</v>
      </c>
      <c r="T198" s="21" t="s">
        <v>1133</v>
      </c>
      <c r="U198" s="21" t="s">
        <v>1395</v>
      </c>
      <c r="V198" s="21" t="s">
        <v>326</v>
      </c>
      <c r="W198" s="21" t="s">
        <v>1464</v>
      </c>
      <c r="X198" s="21" t="s">
        <v>328</v>
      </c>
      <c r="Z198">
        <v>0</v>
      </c>
      <c r="AA198">
        <v>0</v>
      </c>
    </row>
    <row r="199" spans="1:27" x14ac:dyDescent="0.25">
      <c r="A199" s="21" t="s">
        <v>337</v>
      </c>
      <c r="B199" s="21" t="s">
        <v>315</v>
      </c>
      <c r="C199" s="21" t="s">
        <v>315</v>
      </c>
      <c r="D199" s="21" t="s">
        <v>240</v>
      </c>
      <c r="E199" s="21" t="s">
        <v>210</v>
      </c>
      <c r="F199" s="21" t="s">
        <v>1465</v>
      </c>
      <c r="G199" s="21" t="s">
        <v>1466</v>
      </c>
      <c r="H199" s="21" t="s">
        <v>1467</v>
      </c>
      <c r="I199" s="21" t="s">
        <v>1468</v>
      </c>
      <c r="J199" s="62">
        <v>44501</v>
      </c>
      <c r="K199" s="62">
        <v>44501</v>
      </c>
      <c r="L199" s="62">
        <v>31183</v>
      </c>
      <c r="M199" s="21" t="s">
        <v>341</v>
      </c>
      <c r="N199" s="21" t="s">
        <v>240</v>
      </c>
      <c r="O199" s="63">
        <v>81250</v>
      </c>
      <c r="P199" s="21" t="s">
        <v>692</v>
      </c>
      <c r="Q199" s="21" t="s">
        <v>665</v>
      </c>
      <c r="R199" s="21" t="s">
        <v>1469</v>
      </c>
      <c r="S199" s="21" t="s">
        <v>1132</v>
      </c>
      <c r="T199" s="21" t="s">
        <v>1133</v>
      </c>
      <c r="U199" s="21" t="s">
        <v>1134</v>
      </c>
      <c r="V199" s="21" t="s">
        <v>326</v>
      </c>
      <c r="W199" s="21" t="s">
        <v>1470</v>
      </c>
      <c r="X199" s="21" t="s">
        <v>328</v>
      </c>
      <c r="Z199">
        <v>0</v>
      </c>
      <c r="AA199">
        <v>0</v>
      </c>
    </row>
    <row r="200" spans="1:27" x14ac:dyDescent="0.25">
      <c r="A200" s="21" t="s">
        <v>337</v>
      </c>
      <c r="B200" s="21" t="s">
        <v>315</v>
      </c>
      <c r="C200" s="21" t="s">
        <v>315</v>
      </c>
      <c r="D200" s="21" t="s">
        <v>240</v>
      </c>
      <c r="E200" s="21" t="s">
        <v>210</v>
      </c>
      <c r="F200" s="21" t="s">
        <v>1491</v>
      </c>
      <c r="G200" s="21" t="s">
        <v>1492</v>
      </c>
      <c r="H200" s="21" t="s">
        <v>1493</v>
      </c>
      <c r="I200" s="21" t="s">
        <v>1494</v>
      </c>
      <c r="J200" s="62">
        <v>42795</v>
      </c>
      <c r="K200" s="62">
        <v>42795</v>
      </c>
      <c r="L200" s="62">
        <v>36098</v>
      </c>
      <c r="M200" s="21" t="s">
        <v>341</v>
      </c>
      <c r="N200" s="21" t="s">
        <v>240</v>
      </c>
      <c r="O200" s="63">
        <v>49530</v>
      </c>
      <c r="P200" s="21" t="s">
        <v>478</v>
      </c>
      <c r="Q200" s="21" t="s">
        <v>1495</v>
      </c>
      <c r="R200" s="21"/>
      <c r="S200" s="21" t="s">
        <v>1129</v>
      </c>
      <c r="T200" s="21" t="s">
        <v>1130</v>
      </c>
      <c r="U200" s="21" t="s">
        <v>1496</v>
      </c>
      <c r="V200" s="21" t="s">
        <v>326</v>
      </c>
      <c r="W200" s="21" t="s">
        <v>1497</v>
      </c>
      <c r="X200" s="21" t="s">
        <v>328</v>
      </c>
      <c r="Z200">
        <v>0</v>
      </c>
      <c r="AA200">
        <v>0</v>
      </c>
    </row>
    <row r="201" spans="1:27" x14ac:dyDescent="0.25">
      <c r="A201" s="21" t="s">
        <v>444</v>
      </c>
      <c r="B201" s="21" t="s">
        <v>315</v>
      </c>
      <c r="C201" s="21" t="s">
        <v>315</v>
      </c>
      <c r="D201" s="21" t="s">
        <v>240</v>
      </c>
      <c r="E201" s="21" t="s">
        <v>210</v>
      </c>
      <c r="F201" s="21" t="s">
        <v>1536</v>
      </c>
      <c r="G201" s="21" t="s">
        <v>1537</v>
      </c>
      <c r="H201" s="21" t="s">
        <v>1538</v>
      </c>
      <c r="I201" s="21" t="s">
        <v>1517</v>
      </c>
      <c r="J201" s="62">
        <v>43668</v>
      </c>
      <c r="K201" s="62">
        <v>43668</v>
      </c>
      <c r="L201" s="62">
        <v>31898</v>
      </c>
      <c r="M201" s="21" t="s">
        <v>341</v>
      </c>
      <c r="N201" s="21" t="s">
        <v>240</v>
      </c>
      <c r="O201" s="63">
        <v>42500</v>
      </c>
      <c r="P201" s="21" t="s">
        <v>786</v>
      </c>
      <c r="Q201" s="21" t="s">
        <v>1539</v>
      </c>
      <c r="R201" s="21"/>
      <c r="S201" s="21" t="s">
        <v>1129</v>
      </c>
      <c r="T201" s="21" t="s">
        <v>1130</v>
      </c>
      <c r="U201" s="21" t="s">
        <v>1131</v>
      </c>
      <c r="V201" s="21" t="s">
        <v>326</v>
      </c>
      <c r="W201" s="21" t="s">
        <v>1540</v>
      </c>
      <c r="X201" s="21" t="s">
        <v>328</v>
      </c>
      <c r="Z201">
        <v>0</v>
      </c>
      <c r="AA201">
        <v>0</v>
      </c>
    </row>
    <row r="202" spans="1:27" x14ac:dyDescent="0.25">
      <c r="A202" s="21" t="s">
        <v>502</v>
      </c>
      <c r="B202" s="21" t="s">
        <v>315</v>
      </c>
      <c r="C202" s="21" t="s">
        <v>315</v>
      </c>
      <c r="D202" s="21" t="s">
        <v>240</v>
      </c>
      <c r="E202" s="21" t="s">
        <v>210</v>
      </c>
      <c r="F202" s="21" t="s">
        <v>1627</v>
      </c>
      <c r="G202" s="21" t="s">
        <v>1628</v>
      </c>
      <c r="H202" s="21" t="s">
        <v>947</v>
      </c>
      <c r="I202" s="21" t="s">
        <v>2400</v>
      </c>
      <c r="J202" s="62">
        <v>41832</v>
      </c>
      <c r="K202" s="62">
        <v>41832</v>
      </c>
      <c r="L202" s="62">
        <v>30529</v>
      </c>
      <c r="M202" s="21" t="s">
        <v>341</v>
      </c>
      <c r="N202" s="21" t="s">
        <v>240</v>
      </c>
      <c r="O202" s="63">
        <v>77500</v>
      </c>
      <c r="P202" s="21" t="s">
        <v>1211</v>
      </c>
      <c r="Q202" s="21" t="s">
        <v>576</v>
      </c>
      <c r="R202" s="21"/>
      <c r="S202" s="21" t="s">
        <v>1129</v>
      </c>
      <c r="T202" s="21" t="s">
        <v>1130</v>
      </c>
      <c r="U202" s="21" t="s">
        <v>1134</v>
      </c>
      <c r="V202" s="21" t="s">
        <v>370</v>
      </c>
      <c r="W202" s="21" t="s">
        <v>1629</v>
      </c>
      <c r="X202" s="21" t="s">
        <v>328</v>
      </c>
      <c r="Z202">
        <v>0</v>
      </c>
      <c r="AA202">
        <v>0</v>
      </c>
    </row>
    <row r="203" spans="1:27" x14ac:dyDescent="0.25">
      <c r="A203" s="21" t="s">
        <v>329</v>
      </c>
      <c r="B203" s="21" t="s">
        <v>315</v>
      </c>
      <c r="C203" s="21" t="s">
        <v>315</v>
      </c>
      <c r="D203" s="21" t="s">
        <v>228</v>
      </c>
      <c r="E203" s="21" t="s">
        <v>210</v>
      </c>
      <c r="F203" s="21" t="s">
        <v>1746</v>
      </c>
      <c r="G203" s="21" t="s">
        <v>1747</v>
      </c>
      <c r="H203" s="21" t="s">
        <v>1748</v>
      </c>
      <c r="I203" s="21" t="s">
        <v>1749</v>
      </c>
      <c r="J203" s="62">
        <v>45754</v>
      </c>
      <c r="K203" s="62">
        <v>45754</v>
      </c>
      <c r="L203" s="62">
        <v>33479</v>
      </c>
      <c r="M203" s="21" t="s">
        <v>341</v>
      </c>
      <c r="N203" s="21" t="s">
        <v>228</v>
      </c>
      <c r="O203" s="63">
        <v>81250</v>
      </c>
      <c r="P203" s="21" t="s">
        <v>1750</v>
      </c>
      <c r="Q203" s="21" t="s">
        <v>1751</v>
      </c>
      <c r="R203" s="21" t="s">
        <v>1752</v>
      </c>
      <c r="S203" s="21" t="s">
        <v>1132</v>
      </c>
      <c r="T203" s="21" t="s">
        <v>1133</v>
      </c>
      <c r="U203" s="21" t="s">
        <v>1395</v>
      </c>
      <c r="V203" s="21" t="s">
        <v>326</v>
      </c>
      <c r="W203" s="21" t="s">
        <v>1753</v>
      </c>
      <c r="X203" s="21" t="s">
        <v>328</v>
      </c>
      <c r="Z203">
        <v>0</v>
      </c>
      <c r="AA203">
        <v>0</v>
      </c>
    </row>
    <row r="204" spans="1:27" x14ac:dyDescent="0.25">
      <c r="A204" s="21" t="s">
        <v>444</v>
      </c>
      <c r="B204" s="21" t="s">
        <v>315</v>
      </c>
      <c r="C204" s="21" t="s">
        <v>315</v>
      </c>
      <c r="D204" s="21" t="s">
        <v>228</v>
      </c>
      <c r="E204" s="21" t="s">
        <v>210</v>
      </c>
      <c r="F204" s="21" t="s">
        <v>1821</v>
      </c>
      <c r="G204" s="21" t="s">
        <v>1822</v>
      </c>
      <c r="H204" s="21" t="s">
        <v>1823</v>
      </c>
      <c r="I204" s="21" t="s">
        <v>826</v>
      </c>
      <c r="J204" s="62">
        <v>45112</v>
      </c>
      <c r="K204" s="62">
        <v>45112</v>
      </c>
      <c r="L204" s="62">
        <v>35565</v>
      </c>
      <c r="M204" s="21" t="s">
        <v>341</v>
      </c>
      <c r="N204" s="21" t="s">
        <v>228</v>
      </c>
      <c r="O204" s="63">
        <v>41000</v>
      </c>
      <c r="P204" s="21" t="s">
        <v>867</v>
      </c>
      <c r="Q204" s="21" t="s">
        <v>1423</v>
      </c>
      <c r="R204" s="21" t="s">
        <v>1824</v>
      </c>
      <c r="S204" s="21" t="s">
        <v>1129</v>
      </c>
      <c r="T204" s="21" t="s">
        <v>1130</v>
      </c>
      <c r="U204" s="21" t="s">
        <v>1825</v>
      </c>
      <c r="V204" s="21" t="s">
        <v>326</v>
      </c>
      <c r="W204" s="21" t="s">
        <v>1826</v>
      </c>
      <c r="X204" s="21" t="s">
        <v>328</v>
      </c>
      <c r="Z204">
        <v>0</v>
      </c>
      <c r="AA204">
        <v>0</v>
      </c>
    </row>
    <row r="205" spans="1:27" x14ac:dyDescent="0.25">
      <c r="A205" s="21" t="s">
        <v>314</v>
      </c>
      <c r="B205" s="21" t="s">
        <v>315</v>
      </c>
      <c r="C205" s="21" t="s">
        <v>315</v>
      </c>
      <c r="D205" s="21" t="s">
        <v>240</v>
      </c>
      <c r="E205" s="21" t="s">
        <v>210</v>
      </c>
      <c r="F205" s="21" t="s">
        <v>1903</v>
      </c>
      <c r="G205" s="21" t="s">
        <v>1904</v>
      </c>
      <c r="H205" s="21" t="s">
        <v>1905</v>
      </c>
      <c r="I205" s="21" t="s">
        <v>1906</v>
      </c>
      <c r="J205" s="62">
        <v>45217</v>
      </c>
      <c r="K205" s="62">
        <v>45217</v>
      </c>
      <c r="L205" s="62">
        <v>32004</v>
      </c>
      <c r="M205" s="21" t="s">
        <v>341</v>
      </c>
      <c r="N205" s="21" t="s">
        <v>240</v>
      </c>
      <c r="O205" s="63">
        <v>78750</v>
      </c>
      <c r="P205" s="21" t="s">
        <v>1907</v>
      </c>
      <c r="Q205" s="21" t="s">
        <v>353</v>
      </c>
      <c r="R205" s="21" t="s">
        <v>1908</v>
      </c>
      <c r="S205" s="21" t="s">
        <v>1132</v>
      </c>
      <c r="T205" s="21" t="s">
        <v>1133</v>
      </c>
      <c r="U205" s="21" t="s">
        <v>1134</v>
      </c>
      <c r="V205" s="21" t="s">
        <v>326</v>
      </c>
      <c r="W205" s="21" t="s">
        <v>1909</v>
      </c>
      <c r="X205" s="21" t="s">
        <v>328</v>
      </c>
      <c r="Z205">
        <v>0</v>
      </c>
      <c r="AA205">
        <v>0</v>
      </c>
    </row>
    <row r="206" spans="1:27" x14ac:dyDescent="0.25">
      <c r="A206" s="21" t="s">
        <v>337</v>
      </c>
      <c r="B206" s="21" t="s">
        <v>315</v>
      </c>
      <c r="C206" s="21" t="s">
        <v>315</v>
      </c>
      <c r="D206" s="21" t="s">
        <v>240</v>
      </c>
      <c r="E206" s="21" t="s">
        <v>210</v>
      </c>
      <c r="F206" s="21" t="s">
        <v>1920</v>
      </c>
      <c r="G206" s="21" t="s">
        <v>1921</v>
      </c>
      <c r="H206" s="21" t="s">
        <v>1922</v>
      </c>
      <c r="I206" s="21" t="s">
        <v>1803</v>
      </c>
      <c r="J206" s="62">
        <v>44378</v>
      </c>
      <c r="K206" s="62">
        <v>44378</v>
      </c>
      <c r="L206" s="62">
        <v>34164</v>
      </c>
      <c r="M206" s="21" t="s">
        <v>341</v>
      </c>
      <c r="N206" s="21" t="s">
        <v>240</v>
      </c>
      <c r="O206" s="63">
        <v>40865</v>
      </c>
      <c r="P206" s="21" t="s">
        <v>478</v>
      </c>
      <c r="Q206" s="21" t="s">
        <v>734</v>
      </c>
      <c r="R206" s="21" t="s">
        <v>1923</v>
      </c>
      <c r="S206" s="21" t="s">
        <v>1129</v>
      </c>
      <c r="T206" s="21" t="s">
        <v>1130</v>
      </c>
      <c r="U206" s="21" t="s">
        <v>1131</v>
      </c>
      <c r="V206" s="21" t="s">
        <v>326</v>
      </c>
      <c r="W206" s="21" t="s">
        <v>1924</v>
      </c>
      <c r="X206" s="21" t="s">
        <v>328</v>
      </c>
      <c r="Z206">
        <v>0</v>
      </c>
      <c r="AA206">
        <v>0</v>
      </c>
    </row>
    <row r="207" spans="1:27" x14ac:dyDescent="0.25">
      <c r="A207" s="21" t="s">
        <v>510</v>
      </c>
      <c r="B207" s="21" t="s">
        <v>315</v>
      </c>
      <c r="C207" s="21" t="s">
        <v>315</v>
      </c>
      <c r="D207" s="21" t="s">
        <v>240</v>
      </c>
      <c r="E207" s="21" t="s">
        <v>210</v>
      </c>
      <c r="F207" s="21" t="s">
        <v>1930</v>
      </c>
      <c r="G207" s="21" t="s">
        <v>1931</v>
      </c>
      <c r="H207" s="21" t="s">
        <v>1932</v>
      </c>
      <c r="I207" s="21" t="s">
        <v>1933</v>
      </c>
      <c r="J207" s="62">
        <v>44991</v>
      </c>
      <c r="K207" s="62">
        <v>44991</v>
      </c>
      <c r="L207" s="62">
        <v>30103</v>
      </c>
      <c r="M207" s="21" t="s">
        <v>341</v>
      </c>
      <c r="N207" s="21" t="s">
        <v>240</v>
      </c>
      <c r="O207" s="63">
        <v>67310</v>
      </c>
      <c r="P207" s="21" t="s">
        <v>1934</v>
      </c>
      <c r="Q207" s="21" t="s">
        <v>476</v>
      </c>
      <c r="R207" s="21" t="s">
        <v>1935</v>
      </c>
      <c r="S207" s="21" t="s">
        <v>1129</v>
      </c>
      <c r="T207" s="21" t="s">
        <v>1130</v>
      </c>
      <c r="U207" s="21" t="s">
        <v>1131</v>
      </c>
      <c r="V207" s="21" t="s">
        <v>355</v>
      </c>
      <c r="W207" s="21" t="s">
        <v>1936</v>
      </c>
      <c r="X207" s="21" t="s">
        <v>375</v>
      </c>
      <c r="Z207">
        <v>0</v>
      </c>
      <c r="AA207">
        <v>0</v>
      </c>
    </row>
    <row r="208" spans="1:27" x14ac:dyDescent="0.25">
      <c r="A208" s="21" t="s">
        <v>337</v>
      </c>
      <c r="B208" s="21" t="s">
        <v>315</v>
      </c>
      <c r="C208" s="21" t="s">
        <v>315</v>
      </c>
      <c r="D208" s="21" t="s">
        <v>240</v>
      </c>
      <c r="E208" s="21" t="s">
        <v>210</v>
      </c>
      <c r="F208" s="21" t="s">
        <v>1942</v>
      </c>
      <c r="G208" s="21" t="s">
        <v>1943</v>
      </c>
      <c r="H208" s="21" t="s">
        <v>1944</v>
      </c>
      <c r="I208" s="21" t="s">
        <v>1945</v>
      </c>
      <c r="J208" s="62">
        <v>44677</v>
      </c>
      <c r="K208" s="62">
        <v>44677</v>
      </c>
      <c r="L208" s="62">
        <v>27507</v>
      </c>
      <c r="M208" s="21" t="s">
        <v>341</v>
      </c>
      <c r="N208" s="21" t="s">
        <v>240</v>
      </c>
      <c r="O208" s="63">
        <v>81250</v>
      </c>
      <c r="P208" s="21" t="s">
        <v>708</v>
      </c>
      <c r="Q208" s="21" t="s">
        <v>531</v>
      </c>
      <c r="R208" s="21" t="s">
        <v>1946</v>
      </c>
      <c r="S208" s="21" t="s">
        <v>1132</v>
      </c>
      <c r="T208" s="21" t="s">
        <v>1133</v>
      </c>
      <c r="U208" s="21" t="s">
        <v>1134</v>
      </c>
      <c r="V208" s="21" t="s">
        <v>326</v>
      </c>
      <c r="W208" s="21" t="s">
        <v>1947</v>
      </c>
      <c r="X208" s="21" t="s">
        <v>375</v>
      </c>
      <c r="Z208">
        <v>0</v>
      </c>
      <c r="AA208">
        <v>0</v>
      </c>
    </row>
    <row r="209" spans="1:27" x14ac:dyDescent="0.25">
      <c r="A209" s="21" t="s">
        <v>314</v>
      </c>
      <c r="B209" s="21" t="s">
        <v>315</v>
      </c>
      <c r="C209" s="21" t="s">
        <v>315</v>
      </c>
      <c r="D209" s="21" t="s">
        <v>228</v>
      </c>
      <c r="E209" s="21" t="s">
        <v>210</v>
      </c>
      <c r="F209" s="21" t="s">
        <v>2463</v>
      </c>
      <c r="G209" s="21" t="s">
        <v>2464</v>
      </c>
      <c r="H209" s="21" t="s">
        <v>665</v>
      </c>
      <c r="I209" s="21" t="s">
        <v>2465</v>
      </c>
      <c r="J209" s="62">
        <v>46209</v>
      </c>
      <c r="K209" s="62">
        <v>46209</v>
      </c>
      <c r="L209" s="62">
        <v>34673</v>
      </c>
      <c r="M209" s="21" t="s">
        <v>319</v>
      </c>
      <c r="N209" s="21" t="s">
        <v>228</v>
      </c>
      <c r="O209" s="63">
        <v>82000</v>
      </c>
      <c r="P209" s="21" t="s">
        <v>434</v>
      </c>
      <c r="Q209" s="21" t="s">
        <v>358</v>
      </c>
      <c r="R209" s="21" t="s">
        <v>2466</v>
      </c>
      <c r="S209" s="21"/>
      <c r="T209" s="21"/>
      <c r="U209" s="21" t="s">
        <v>1134</v>
      </c>
      <c r="V209" s="21" t="s">
        <v>666</v>
      </c>
      <c r="W209" s="21" t="s">
        <v>2467</v>
      </c>
      <c r="X209" s="21" t="s">
        <v>328</v>
      </c>
      <c r="Z209">
        <v>0</v>
      </c>
      <c r="AA209">
        <v>0</v>
      </c>
    </row>
    <row r="210" spans="1:27" x14ac:dyDescent="0.25">
      <c r="A210" s="21" t="s">
        <v>329</v>
      </c>
      <c r="B210" s="21" t="s">
        <v>315</v>
      </c>
      <c r="C210" s="21" t="s">
        <v>315</v>
      </c>
      <c r="D210" s="21" t="s">
        <v>240</v>
      </c>
      <c r="E210" s="21" t="s">
        <v>210</v>
      </c>
      <c r="F210" s="21" t="s">
        <v>2047</v>
      </c>
      <c r="G210" s="21" t="s">
        <v>2048</v>
      </c>
      <c r="H210" s="21" t="s">
        <v>343</v>
      </c>
      <c r="I210" s="21" t="s">
        <v>2049</v>
      </c>
      <c r="J210" s="62">
        <v>45910</v>
      </c>
      <c r="K210" s="62">
        <v>45910</v>
      </c>
      <c r="L210" s="62">
        <v>31986</v>
      </c>
      <c r="M210" s="21" t="s">
        <v>319</v>
      </c>
      <c r="N210" s="21" t="s">
        <v>240</v>
      </c>
      <c r="O210" s="63">
        <v>81250</v>
      </c>
      <c r="P210" s="21" t="s">
        <v>1236</v>
      </c>
      <c r="Q210" s="21" t="s">
        <v>1973</v>
      </c>
      <c r="R210" s="21" t="s">
        <v>2050</v>
      </c>
      <c r="S210" s="21" t="s">
        <v>1132</v>
      </c>
      <c r="T210" s="21" t="s">
        <v>1133</v>
      </c>
      <c r="U210" s="21" t="s">
        <v>1134</v>
      </c>
      <c r="V210" s="21" t="s">
        <v>326</v>
      </c>
      <c r="W210" s="21" t="s">
        <v>2051</v>
      </c>
      <c r="X210" s="21" t="s">
        <v>328</v>
      </c>
      <c r="Z210">
        <v>0</v>
      </c>
      <c r="AA210">
        <v>0</v>
      </c>
    </row>
    <row r="211" spans="1:27" x14ac:dyDescent="0.25">
      <c r="A211" s="21" t="s">
        <v>337</v>
      </c>
      <c r="B211" s="21" t="s">
        <v>315</v>
      </c>
      <c r="C211" s="21" t="s">
        <v>315</v>
      </c>
      <c r="D211" s="21" t="s">
        <v>240</v>
      </c>
      <c r="E211" s="21" t="s">
        <v>210</v>
      </c>
      <c r="F211" s="21" t="s">
        <v>2070</v>
      </c>
      <c r="G211" s="21" t="s">
        <v>2071</v>
      </c>
      <c r="H211" s="21" t="s">
        <v>2072</v>
      </c>
      <c r="I211" s="21" t="s">
        <v>2073</v>
      </c>
      <c r="J211" s="62">
        <v>44774</v>
      </c>
      <c r="K211" s="62">
        <v>44774</v>
      </c>
      <c r="L211" s="62">
        <v>32425</v>
      </c>
      <c r="M211" s="21" t="s">
        <v>341</v>
      </c>
      <c r="N211" s="21" t="s">
        <v>240</v>
      </c>
      <c r="O211" s="63">
        <v>63500</v>
      </c>
      <c r="P211" s="21" t="s">
        <v>2074</v>
      </c>
      <c r="Q211" s="21" t="s">
        <v>2075</v>
      </c>
      <c r="R211" s="21" t="s">
        <v>2076</v>
      </c>
      <c r="S211" s="21" t="s">
        <v>1129</v>
      </c>
      <c r="T211" s="21" t="s">
        <v>1130</v>
      </c>
      <c r="U211" s="21" t="s">
        <v>1131</v>
      </c>
      <c r="V211" s="21" t="s">
        <v>326</v>
      </c>
      <c r="W211" s="21" t="s">
        <v>2077</v>
      </c>
      <c r="X211" s="21" t="s">
        <v>328</v>
      </c>
      <c r="Z211">
        <v>0</v>
      </c>
      <c r="AA211">
        <v>0</v>
      </c>
    </row>
    <row r="212" spans="1:27" x14ac:dyDescent="0.25">
      <c r="A212" s="21" t="s">
        <v>364</v>
      </c>
      <c r="B212" s="21" t="s">
        <v>315</v>
      </c>
      <c r="C212" s="21" t="s">
        <v>315</v>
      </c>
      <c r="D212" s="21" t="s">
        <v>240</v>
      </c>
      <c r="E212" s="21" t="s">
        <v>210</v>
      </c>
      <c r="F212" s="21" t="s">
        <v>2078</v>
      </c>
      <c r="G212" s="21" t="s">
        <v>2079</v>
      </c>
      <c r="H212" s="21" t="s">
        <v>2080</v>
      </c>
      <c r="I212" s="21" t="s">
        <v>1221</v>
      </c>
      <c r="J212" s="62">
        <v>44287</v>
      </c>
      <c r="K212" s="62">
        <v>44287</v>
      </c>
      <c r="L212" s="62">
        <v>35912</v>
      </c>
      <c r="M212" s="21" t="s">
        <v>341</v>
      </c>
      <c r="N212" s="21" t="s">
        <v>240</v>
      </c>
      <c r="O212" s="63">
        <v>48260</v>
      </c>
      <c r="P212" s="21" t="s">
        <v>478</v>
      </c>
      <c r="Q212" s="21" t="s">
        <v>2081</v>
      </c>
      <c r="R212" s="21" t="s">
        <v>2082</v>
      </c>
      <c r="S212" s="21" t="s">
        <v>1129</v>
      </c>
      <c r="T212" s="21" t="s">
        <v>1130</v>
      </c>
      <c r="U212" s="21" t="s">
        <v>1131</v>
      </c>
      <c r="V212" s="21" t="s">
        <v>326</v>
      </c>
      <c r="W212" s="21" t="s">
        <v>2083</v>
      </c>
      <c r="X212" s="21" t="s">
        <v>328</v>
      </c>
      <c r="Z212">
        <v>0</v>
      </c>
      <c r="AA212">
        <v>0</v>
      </c>
    </row>
    <row r="213" spans="1:27" x14ac:dyDescent="0.25">
      <c r="A213" s="21" t="s">
        <v>314</v>
      </c>
      <c r="B213" s="21" t="s">
        <v>315</v>
      </c>
      <c r="C213" s="21" t="s">
        <v>315</v>
      </c>
      <c r="D213" s="21" t="s">
        <v>240</v>
      </c>
      <c r="E213" s="21" t="s">
        <v>210</v>
      </c>
      <c r="F213" s="21" t="s">
        <v>2122</v>
      </c>
      <c r="G213" s="21" t="s">
        <v>2123</v>
      </c>
      <c r="H213" s="21" t="s">
        <v>2124</v>
      </c>
      <c r="I213" s="21" t="s">
        <v>2073</v>
      </c>
      <c r="J213" s="62">
        <v>45915</v>
      </c>
      <c r="K213" s="62">
        <v>45915</v>
      </c>
      <c r="L213" s="62">
        <v>29346</v>
      </c>
      <c r="M213" s="21" t="s">
        <v>341</v>
      </c>
      <c r="N213" s="21" t="s">
        <v>240</v>
      </c>
      <c r="O213" s="63">
        <v>81250</v>
      </c>
      <c r="P213" s="21" t="s">
        <v>2074</v>
      </c>
      <c r="Q213" s="21" t="s">
        <v>2075</v>
      </c>
      <c r="R213" s="21"/>
      <c r="S213" s="21" t="s">
        <v>1132</v>
      </c>
      <c r="T213" s="21" t="s">
        <v>1133</v>
      </c>
      <c r="U213" s="21" t="s">
        <v>1134</v>
      </c>
      <c r="V213" s="21" t="s">
        <v>370</v>
      </c>
      <c r="W213" s="21" t="s">
        <v>2125</v>
      </c>
      <c r="X213" s="21" t="s">
        <v>328</v>
      </c>
      <c r="Z213">
        <v>0</v>
      </c>
      <c r="AA213">
        <v>0</v>
      </c>
    </row>
    <row r="214" spans="1:27" x14ac:dyDescent="0.25">
      <c r="A214" s="21" t="s">
        <v>337</v>
      </c>
      <c r="B214" s="21" t="s">
        <v>315</v>
      </c>
      <c r="C214" s="21" t="s">
        <v>315</v>
      </c>
      <c r="D214" s="21" t="s">
        <v>240</v>
      </c>
      <c r="E214" s="21" t="s">
        <v>210</v>
      </c>
      <c r="F214" s="21" t="s">
        <v>2160</v>
      </c>
      <c r="G214" s="21" t="s">
        <v>2161</v>
      </c>
      <c r="H214" s="21" t="s">
        <v>2162</v>
      </c>
      <c r="I214" s="21" t="s">
        <v>614</v>
      </c>
      <c r="J214" s="62">
        <v>46023</v>
      </c>
      <c r="K214" s="62">
        <v>46023</v>
      </c>
      <c r="L214" s="62">
        <v>28946</v>
      </c>
      <c r="M214" s="21" t="s">
        <v>341</v>
      </c>
      <c r="N214" s="21" t="s">
        <v>240</v>
      </c>
      <c r="O214" s="63">
        <v>85000</v>
      </c>
      <c r="P214" s="21" t="s">
        <v>708</v>
      </c>
      <c r="Q214" s="21" t="s">
        <v>321</v>
      </c>
      <c r="R214" s="21" t="s">
        <v>2163</v>
      </c>
      <c r="S214" s="21" t="s">
        <v>1132</v>
      </c>
      <c r="T214" s="21" t="s">
        <v>1133</v>
      </c>
      <c r="U214" s="21" t="s">
        <v>2164</v>
      </c>
      <c r="V214" s="21" t="s">
        <v>326</v>
      </c>
      <c r="W214" s="21"/>
      <c r="X214" s="21" t="s">
        <v>375</v>
      </c>
      <c r="Z214">
        <v>0</v>
      </c>
      <c r="AA214">
        <v>0</v>
      </c>
    </row>
    <row r="215" spans="1:27" x14ac:dyDescent="0.25">
      <c r="A215" s="21" t="s">
        <v>329</v>
      </c>
      <c r="B215" s="21" t="s">
        <v>315</v>
      </c>
      <c r="C215" s="21" t="s">
        <v>315</v>
      </c>
      <c r="D215" s="21" t="s">
        <v>240</v>
      </c>
      <c r="E215" s="21" t="s">
        <v>217</v>
      </c>
      <c r="F215" s="21" t="s">
        <v>1226</v>
      </c>
      <c r="G215" s="21" t="s">
        <v>1227</v>
      </c>
      <c r="H215" s="21" t="s">
        <v>722</v>
      </c>
      <c r="I215" s="21" t="s">
        <v>916</v>
      </c>
      <c r="J215" s="62">
        <v>45181</v>
      </c>
      <c r="K215" s="62">
        <v>45181</v>
      </c>
      <c r="L215" s="62">
        <v>29955</v>
      </c>
      <c r="M215" s="21" t="s">
        <v>341</v>
      </c>
      <c r="N215" s="21" t="s">
        <v>240</v>
      </c>
      <c r="O215" s="63">
        <v>50943.75</v>
      </c>
      <c r="P215" s="21" t="s">
        <v>708</v>
      </c>
      <c r="Q215" s="21" t="s">
        <v>476</v>
      </c>
      <c r="R215" s="21" t="s">
        <v>1228</v>
      </c>
      <c r="S215" s="21" t="s">
        <v>1229</v>
      </c>
      <c r="T215" s="21" t="s">
        <v>1230</v>
      </c>
      <c r="U215" s="21" t="s">
        <v>1231</v>
      </c>
      <c r="V215" s="21" t="s">
        <v>326</v>
      </c>
      <c r="W215" s="21" t="s">
        <v>1232</v>
      </c>
      <c r="X215" s="21" t="s">
        <v>328</v>
      </c>
      <c r="Z215">
        <v>0</v>
      </c>
      <c r="AA215">
        <v>0</v>
      </c>
    </row>
    <row r="216" spans="1:27" x14ac:dyDescent="0.25">
      <c r="A216" s="21" t="s">
        <v>364</v>
      </c>
      <c r="B216" s="21" t="s">
        <v>315</v>
      </c>
      <c r="C216" s="21" t="s">
        <v>315</v>
      </c>
      <c r="D216" s="21" t="s">
        <v>240</v>
      </c>
      <c r="E216" s="21" t="s">
        <v>217</v>
      </c>
      <c r="F216" s="21" t="s">
        <v>1324</v>
      </c>
      <c r="G216" s="21" t="s">
        <v>1325</v>
      </c>
      <c r="H216" s="21" t="s">
        <v>1326</v>
      </c>
      <c r="I216" s="21" t="s">
        <v>1327</v>
      </c>
      <c r="J216" s="62">
        <v>45789</v>
      </c>
      <c r="K216" s="62">
        <v>45789</v>
      </c>
      <c r="L216" s="62">
        <v>37518</v>
      </c>
      <c r="M216" s="21" t="s">
        <v>319</v>
      </c>
      <c r="N216" s="21" t="s">
        <v>240</v>
      </c>
      <c r="O216" s="63">
        <v>31250</v>
      </c>
      <c r="P216" s="21" t="s">
        <v>692</v>
      </c>
      <c r="Q216" s="21" t="s">
        <v>729</v>
      </c>
      <c r="R216" s="21" t="s">
        <v>1328</v>
      </c>
      <c r="S216" s="21" t="s">
        <v>1329</v>
      </c>
      <c r="T216" s="21" t="s">
        <v>1330</v>
      </c>
      <c r="U216" s="21" t="s">
        <v>1231</v>
      </c>
      <c r="V216" s="21" t="s">
        <v>326</v>
      </c>
      <c r="W216" s="21" t="s">
        <v>1331</v>
      </c>
      <c r="X216" s="21" t="s">
        <v>328</v>
      </c>
      <c r="Z216">
        <v>0</v>
      </c>
      <c r="AA216">
        <v>0</v>
      </c>
    </row>
    <row r="217" spans="1:27" x14ac:dyDescent="0.25">
      <c r="A217" s="21" t="s">
        <v>510</v>
      </c>
      <c r="B217" s="21" t="s">
        <v>315</v>
      </c>
      <c r="C217" s="21" t="s">
        <v>315</v>
      </c>
      <c r="D217" s="21" t="s">
        <v>240</v>
      </c>
      <c r="E217" s="21" t="s">
        <v>217</v>
      </c>
      <c r="F217" s="21" t="s">
        <v>1511</v>
      </c>
      <c r="G217" s="21" t="s">
        <v>1512</v>
      </c>
      <c r="H217" s="21" t="s">
        <v>732</v>
      </c>
      <c r="I217" s="21" t="s">
        <v>726</v>
      </c>
      <c r="J217" s="62">
        <v>45383</v>
      </c>
      <c r="K217" s="62">
        <v>45383</v>
      </c>
      <c r="L217" s="62">
        <v>32340</v>
      </c>
      <c r="M217" s="21" t="s">
        <v>319</v>
      </c>
      <c r="N217" s="21" t="s">
        <v>240</v>
      </c>
      <c r="O217" s="63">
        <v>71500</v>
      </c>
      <c r="P217" s="21" t="s">
        <v>478</v>
      </c>
      <c r="Q217" s="21" t="s">
        <v>750</v>
      </c>
      <c r="R217" s="21" t="s">
        <v>1513</v>
      </c>
      <c r="S217" s="21" t="s">
        <v>1229</v>
      </c>
      <c r="T217" s="21" t="s">
        <v>1230</v>
      </c>
      <c r="U217" s="21" t="s">
        <v>1231</v>
      </c>
      <c r="V217" s="21" t="s">
        <v>666</v>
      </c>
      <c r="W217" s="21" t="s">
        <v>1514</v>
      </c>
      <c r="X217" s="21" t="s">
        <v>328</v>
      </c>
      <c r="Z217">
        <v>0</v>
      </c>
      <c r="AA217">
        <v>0</v>
      </c>
    </row>
    <row r="218" spans="1:27" x14ac:dyDescent="0.25">
      <c r="A218" s="21" t="s">
        <v>364</v>
      </c>
      <c r="B218" s="21" t="s">
        <v>315</v>
      </c>
      <c r="C218" s="21" t="s">
        <v>315</v>
      </c>
      <c r="D218" s="21" t="s">
        <v>240</v>
      </c>
      <c r="E218" s="21" t="s">
        <v>217</v>
      </c>
      <c r="F218" s="21" t="s">
        <v>1597</v>
      </c>
      <c r="G218" s="21" t="s">
        <v>1598</v>
      </c>
      <c r="H218" s="21" t="s">
        <v>353</v>
      </c>
      <c r="I218" s="21" t="s">
        <v>1599</v>
      </c>
      <c r="J218" s="62">
        <v>43405</v>
      </c>
      <c r="K218" s="62">
        <v>43405</v>
      </c>
      <c r="L218" s="62">
        <v>31768</v>
      </c>
      <c r="M218" s="21" t="s">
        <v>319</v>
      </c>
      <c r="N218" s="21" t="s">
        <v>240</v>
      </c>
      <c r="O218" s="63">
        <v>120000</v>
      </c>
      <c r="P218" s="21" t="s">
        <v>708</v>
      </c>
      <c r="Q218" s="21" t="s">
        <v>1600</v>
      </c>
      <c r="R218" s="21"/>
      <c r="S218" s="21" t="s">
        <v>1601</v>
      </c>
      <c r="T218" s="21" t="s">
        <v>1602</v>
      </c>
      <c r="U218" s="21" t="s">
        <v>1603</v>
      </c>
      <c r="V218" s="21" t="s">
        <v>666</v>
      </c>
      <c r="W218" s="21" t="s">
        <v>1604</v>
      </c>
      <c r="X218" s="21" t="s">
        <v>328</v>
      </c>
      <c r="Z218">
        <v>0</v>
      </c>
      <c r="AA218">
        <v>0</v>
      </c>
    </row>
    <row r="219" spans="1:27" x14ac:dyDescent="0.25">
      <c r="A219" s="21" t="s">
        <v>314</v>
      </c>
      <c r="B219" s="21" t="s">
        <v>315</v>
      </c>
      <c r="C219" s="21" t="s">
        <v>315</v>
      </c>
      <c r="D219" s="21" t="s">
        <v>240</v>
      </c>
      <c r="E219" s="21" t="s">
        <v>217</v>
      </c>
      <c r="F219" s="21" t="s">
        <v>1622</v>
      </c>
      <c r="G219" s="21" t="s">
        <v>1623</v>
      </c>
      <c r="H219" s="21" t="s">
        <v>1624</v>
      </c>
      <c r="I219" s="21" t="s">
        <v>619</v>
      </c>
      <c r="J219" s="62">
        <v>44459</v>
      </c>
      <c r="K219" s="62">
        <v>44459</v>
      </c>
      <c r="L219" s="62">
        <v>32771</v>
      </c>
      <c r="M219" s="21" t="s">
        <v>341</v>
      </c>
      <c r="N219" s="21" t="s">
        <v>240</v>
      </c>
      <c r="O219" s="63">
        <v>73125</v>
      </c>
      <c r="P219" s="21" t="s">
        <v>697</v>
      </c>
      <c r="Q219" s="21" t="s">
        <v>970</v>
      </c>
      <c r="R219" s="21" t="s">
        <v>1625</v>
      </c>
      <c r="S219" s="21" t="s">
        <v>1601</v>
      </c>
      <c r="T219" s="21" t="s">
        <v>1602</v>
      </c>
      <c r="U219" s="21" t="s">
        <v>1231</v>
      </c>
      <c r="V219" s="21" t="s">
        <v>666</v>
      </c>
      <c r="W219" s="21" t="s">
        <v>1626</v>
      </c>
      <c r="X219" s="21" t="s">
        <v>328</v>
      </c>
      <c r="Z219">
        <v>0</v>
      </c>
      <c r="AA219">
        <v>0</v>
      </c>
    </row>
    <row r="220" spans="1:27" x14ac:dyDescent="0.25">
      <c r="A220" s="21" t="s">
        <v>364</v>
      </c>
      <c r="B220" s="21" t="s">
        <v>315</v>
      </c>
      <c r="C220" s="21" t="s">
        <v>315</v>
      </c>
      <c r="D220" s="21" t="s">
        <v>240</v>
      </c>
      <c r="E220" s="21" t="s">
        <v>217</v>
      </c>
      <c r="F220" s="21" t="s">
        <v>1787</v>
      </c>
      <c r="G220" s="21" t="s">
        <v>1788</v>
      </c>
      <c r="H220" s="21" t="s">
        <v>493</v>
      </c>
      <c r="I220" s="21" t="s">
        <v>1789</v>
      </c>
      <c r="J220" s="62">
        <v>44997</v>
      </c>
      <c r="K220" s="62">
        <v>44997</v>
      </c>
      <c r="L220" s="62">
        <v>28962</v>
      </c>
      <c r="M220" s="21" t="s">
        <v>319</v>
      </c>
      <c r="N220" s="21" t="s">
        <v>240</v>
      </c>
      <c r="O220" s="63">
        <v>75075</v>
      </c>
      <c r="P220" s="21" t="s">
        <v>708</v>
      </c>
      <c r="Q220" s="21" t="s">
        <v>1790</v>
      </c>
      <c r="R220" s="21" t="s">
        <v>1791</v>
      </c>
      <c r="S220" s="21" t="s">
        <v>1229</v>
      </c>
      <c r="T220" s="21" t="s">
        <v>1230</v>
      </c>
      <c r="U220" s="21" t="s">
        <v>1231</v>
      </c>
      <c r="V220" s="21" t="s">
        <v>326</v>
      </c>
      <c r="W220" s="21" t="s">
        <v>1792</v>
      </c>
      <c r="X220" s="21" t="s">
        <v>375</v>
      </c>
      <c r="Z220">
        <v>0</v>
      </c>
      <c r="AA220">
        <v>0</v>
      </c>
    </row>
    <row r="221" spans="1:27" x14ac:dyDescent="0.25">
      <c r="A221" s="21" t="s">
        <v>364</v>
      </c>
      <c r="B221" s="21" t="s">
        <v>315</v>
      </c>
      <c r="C221" s="21" t="s">
        <v>315</v>
      </c>
      <c r="D221" s="21" t="s">
        <v>240</v>
      </c>
      <c r="E221" s="21" t="s">
        <v>212</v>
      </c>
      <c r="F221" s="21" t="s">
        <v>1149</v>
      </c>
      <c r="G221" s="21" t="s">
        <v>1150</v>
      </c>
      <c r="H221" s="21" t="s">
        <v>1151</v>
      </c>
      <c r="I221" s="21" t="s">
        <v>1152</v>
      </c>
      <c r="J221" s="62">
        <v>45110</v>
      </c>
      <c r="K221" s="62">
        <v>45110</v>
      </c>
      <c r="L221" s="62">
        <v>37050</v>
      </c>
      <c r="M221" s="21" t="s">
        <v>341</v>
      </c>
      <c r="N221" s="21" t="s">
        <v>240</v>
      </c>
      <c r="O221" s="63">
        <v>45000</v>
      </c>
      <c r="P221" s="21" t="s">
        <v>652</v>
      </c>
      <c r="Q221" s="21" t="s">
        <v>1153</v>
      </c>
      <c r="R221" s="21" t="s">
        <v>1154</v>
      </c>
      <c r="S221" s="21" t="s">
        <v>753</v>
      </c>
      <c r="T221" s="21" t="s">
        <v>754</v>
      </c>
      <c r="U221" s="21" t="s">
        <v>1155</v>
      </c>
      <c r="V221" s="21" t="s">
        <v>326</v>
      </c>
      <c r="W221" s="21" t="s">
        <v>1156</v>
      </c>
      <c r="X221" s="21" t="s">
        <v>328</v>
      </c>
      <c r="Z221">
        <v>0</v>
      </c>
      <c r="AA221">
        <v>0</v>
      </c>
    </row>
    <row r="222" spans="1:27" x14ac:dyDescent="0.25">
      <c r="A222" s="21" t="s">
        <v>314</v>
      </c>
      <c r="B222" s="21" t="s">
        <v>315</v>
      </c>
      <c r="C222" s="21" t="s">
        <v>315</v>
      </c>
      <c r="D222" s="21" t="s">
        <v>240</v>
      </c>
      <c r="E222" s="21" t="s">
        <v>212</v>
      </c>
      <c r="F222" s="21" t="s">
        <v>1191</v>
      </c>
      <c r="G222" s="21" t="s">
        <v>1192</v>
      </c>
      <c r="H222" s="21" t="s">
        <v>1193</v>
      </c>
      <c r="I222" s="21" t="s">
        <v>1194</v>
      </c>
      <c r="J222" s="62">
        <v>42079</v>
      </c>
      <c r="K222" s="62">
        <v>42079</v>
      </c>
      <c r="L222" s="62">
        <v>28977</v>
      </c>
      <c r="M222" s="21" t="s">
        <v>341</v>
      </c>
      <c r="N222" s="21" t="s">
        <v>240</v>
      </c>
      <c r="O222" s="63">
        <v>100000</v>
      </c>
      <c r="P222" s="21" t="s">
        <v>1195</v>
      </c>
      <c r="Q222" s="21" t="s">
        <v>1196</v>
      </c>
      <c r="R222" s="21"/>
      <c r="S222" s="21" t="s">
        <v>1197</v>
      </c>
      <c r="T222" s="21" t="s">
        <v>1198</v>
      </c>
      <c r="U222" s="21" t="s">
        <v>212</v>
      </c>
      <c r="V222" s="21" t="s">
        <v>370</v>
      </c>
      <c r="W222" s="21" t="s">
        <v>1199</v>
      </c>
      <c r="X222" s="21" t="s">
        <v>328</v>
      </c>
      <c r="Z222">
        <v>0</v>
      </c>
      <c r="AA222">
        <v>0</v>
      </c>
    </row>
    <row r="223" spans="1:27" x14ac:dyDescent="0.25">
      <c r="A223" s="21" t="s">
        <v>329</v>
      </c>
      <c r="B223" s="21" t="s">
        <v>315</v>
      </c>
      <c r="C223" s="21" t="s">
        <v>315</v>
      </c>
      <c r="D223" s="21" t="s">
        <v>240</v>
      </c>
      <c r="E223" s="21" t="s">
        <v>212</v>
      </c>
      <c r="F223" s="21" t="s">
        <v>1296</v>
      </c>
      <c r="G223" s="21" t="s">
        <v>1297</v>
      </c>
      <c r="H223" s="21" t="s">
        <v>1298</v>
      </c>
      <c r="I223" s="21" t="s">
        <v>1299</v>
      </c>
      <c r="J223" s="62">
        <v>45597</v>
      </c>
      <c r="K223" s="62">
        <v>45597</v>
      </c>
      <c r="L223" s="62">
        <v>34819</v>
      </c>
      <c r="M223" s="21" t="s">
        <v>341</v>
      </c>
      <c r="N223" s="21" t="s">
        <v>240</v>
      </c>
      <c r="O223" s="63">
        <v>60000</v>
      </c>
      <c r="P223" s="21" t="s">
        <v>1300</v>
      </c>
      <c r="Q223" s="21" t="s">
        <v>1301</v>
      </c>
      <c r="R223" s="21" t="s">
        <v>1302</v>
      </c>
      <c r="S223" s="21" t="s">
        <v>753</v>
      </c>
      <c r="T223" s="21" t="s">
        <v>754</v>
      </c>
      <c r="U223" s="21" t="s">
        <v>212</v>
      </c>
      <c r="V223" s="21" t="s">
        <v>666</v>
      </c>
      <c r="W223" s="21" t="s">
        <v>1303</v>
      </c>
      <c r="X223" s="21" t="s">
        <v>328</v>
      </c>
      <c r="Z223">
        <v>0</v>
      </c>
      <c r="AA223">
        <v>0</v>
      </c>
    </row>
    <row r="224" spans="1:27" x14ac:dyDescent="0.25">
      <c r="A224" s="21" t="s">
        <v>329</v>
      </c>
      <c r="B224" s="21" t="s">
        <v>315</v>
      </c>
      <c r="C224" s="21" t="s">
        <v>315</v>
      </c>
      <c r="D224" s="21" t="s">
        <v>240</v>
      </c>
      <c r="E224" s="21" t="s">
        <v>212</v>
      </c>
      <c r="F224" s="21" t="s">
        <v>1345</v>
      </c>
      <c r="G224" s="21" t="s">
        <v>1346</v>
      </c>
      <c r="H224" s="21" t="s">
        <v>1347</v>
      </c>
      <c r="I224" s="21" t="s">
        <v>1348</v>
      </c>
      <c r="J224" s="62">
        <v>45101</v>
      </c>
      <c r="K224" s="62">
        <v>45101</v>
      </c>
      <c r="L224" s="62">
        <v>30342</v>
      </c>
      <c r="M224" s="21" t="s">
        <v>341</v>
      </c>
      <c r="N224" s="21" t="s">
        <v>240</v>
      </c>
      <c r="O224" s="63">
        <v>200000</v>
      </c>
      <c r="P224" s="21" t="s">
        <v>708</v>
      </c>
      <c r="Q224" s="21" t="s">
        <v>1349</v>
      </c>
      <c r="R224" s="21" t="s">
        <v>2336</v>
      </c>
      <c r="S224" s="21" t="s">
        <v>1350</v>
      </c>
      <c r="T224" s="21" t="s">
        <v>1351</v>
      </c>
      <c r="U224" s="21" t="s">
        <v>1352</v>
      </c>
      <c r="V224" s="21" t="s">
        <v>326</v>
      </c>
      <c r="W224" s="21" t="s">
        <v>1353</v>
      </c>
      <c r="X224" s="21" t="s">
        <v>328</v>
      </c>
      <c r="Z224">
        <v>0</v>
      </c>
      <c r="AA224">
        <v>0</v>
      </c>
    </row>
    <row r="225" spans="1:27" x14ac:dyDescent="0.25">
      <c r="A225" s="21" t="s">
        <v>337</v>
      </c>
      <c r="B225" s="21" t="s">
        <v>315</v>
      </c>
      <c r="C225" s="21" t="s">
        <v>315</v>
      </c>
      <c r="D225" s="21" t="s">
        <v>240</v>
      </c>
      <c r="E225" s="21" t="s">
        <v>212</v>
      </c>
      <c r="F225" s="21" t="s">
        <v>1354</v>
      </c>
      <c r="G225" s="21" t="s">
        <v>1355</v>
      </c>
      <c r="H225" s="21" t="s">
        <v>1356</v>
      </c>
      <c r="I225" s="21" t="s">
        <v>1357</v>
      </c>
      <c r="J225" s="62">
        <v>44986</v>
      </c>
      <c r="K225" s="62">
        <v>44986</v>
      </c>
      <c r="L225" s="62">
        <v>32898</v>
      </c>
      <c r="M225" s="21" t="s">
        <v>341</v>
      </c>
      <c r="N225" s="21" t="s">
        <v>240</v>
      </c>
      <c r="O225" s="63">
        <v>68000</v>
      </c>
      <c r="P225" s="21" t="s">
        <v>478</v>
      </c>
      <c r="Q225" s="21" t="s">
        <v>747</v>
      </c>
      <c r="R225" s="21" t="s">
        <v>1358</v>
      </c>
      <c r="S225" s="21" t="s">
        <v>753</v>
      </c>
      <c r="T225" s="21" t="s">
        <v>754</v>
      </c>
      <c r="U225" s="21" t="s">
        <v>212</v>
      </c>
      <c r="V225" s="21" t="s">
        <v>666</v>
      </c>
      <c r="W225" s="21" t="s">
        <v>1359</v>
      </c>
      <c r="X225" s="21" t="s">
        <v>328</v>
      </c>
      <c r="Z225">
        <v>0</v>
      </c>
      <c r="AA225">
        <v>0</v>
      </c>
    </row>
    <row r="226" spans="1:27" x14ac:dyDescent="0.25">
      <c r="A226" s="21" t="s">
        <v>314</v>
      </c>
      <c r="B226" s="21" t="s">
        <v>315</v>
      </c>
      <c r="C226" s="21" t="s">
        <v>315</v>
      </c>
      <c r="D226" s="21" t="s">
        <v>228</v>
      </c>
      <c r="E226" s="21" t="s">
        <v>212</v>
      </c>
      <c r="F226" s="21" t="s">
        <v>1372</v>
      </c>
      <c r="G226" s="21" t="s">
        <v>1373</v>
      </c>
      <c r="H226" s="21" t="s">
        <v>1374</v>
      </c>
      <c r="I226" s="21" t="s">
        <v>426</v>
      </c>
      <c r="J226" s="62">
        <v>44973</v>
      </c>
      <c r="K226" s="62">
        <v>44973</v>
      </c>
      <c r="L226" s="62">
        <v>38191</v>
      </c>
      <c r="M226" s="21" t="s">
        <v>341</v>
      </c>
      <c r="N226" s="21" t="s">
        <v>228</v>
      </c>
      <c r="O226" s="63">
        <v>65000</v>
      </c>
      <c r="P226" s="21" t="s">
        <v>478</v>
      </c>
      <c r="Q226" s="21" t="s">
        <v>493</v>
      </c>
      <c r="R226" s="21" t="s">
        <v>1375</v>
      </c>
      <c r="S226" s="21" t="s">
        <v>753</v>
      </c>
      <c r="T226" s="21" t="s">
        <v>754</v>
      </c>
      <c r="U226" s="21" t="s">
        <v>212</v>
      </c>
      <c r="V226" s="21" t="s">
        <v>326</v>
      </c>
      <c r="W226" s="21" t="s">
        <v>1376</v>
      </c>
      <c r="X226" s="21" t="s">
        <v>328</v>
      </c>
      <c r="Z226">
        <v>0</v>
      </c>
      <c r="AA226">
        <v>0</v>
      </c>
    </row>
    <row r="227" spans="1:27" x14ac:dyDescent="0.25">
      <c r="A227" s="21" t="s">
        <v>329</v>
      </c>
      <c r="B227" s="21" t="s">
        <v>315</v>
      </c>
      <c r="C227" s="21" t="s">
        <v>315</v>
      </c>
      <c r="D227" s="21" t="s">
        <v>240</v>
      </c>
      <c r="E227" s="21" t="s">
        <v>212</v>
      </c>
      <c r="F227" s="21" t="s">
        <v>1488</v>
      </c>
      <c r="G227" s="21" t="s">
        <v>1489</v>
      </c>
      <c r="H227" s="21" t="s">
        <v>1490</v>
      </c>
      <c r="I227" s="21" t="s">
        <v>751</v>
      </c>
      <c r="J227" s="62">
        <v>45627</v>
      </c>
      <c r="K227" s="62">
        <v>45627</v>
      </c>
      <c r="L227" s="62">
        <v>36610</v>
      </c>
      <c r="M227" s="21" t="s">
        <v>319</v>
      </c>
      <c r="N227" s="21" t="s">
        <v>240</v>
      </c>
      <c r="O227" s="63">
        <v>80000</v>
      </c>
      <c r="P227" s="21" t="s">
        <v>740</v>
      </c>
      <c r="Q227" s="21" t="s">
        <v>970</v>
      </c>
      <c r="R227" s="21"/>
      <c r="S227" s="21" t="s">
        <v>753</v>
      </c>
      <c r="T227" s="21" t="s">
        <v>754</v>
      </c>
      <c r="U227" s="21" t="s">
        <v>212</v>
      </c>
      <c r="V227" s="21" t="s">
        <v>326</v>
      </c>
      <c r="W227" s="21"/>
      <c r="X227" s="21" t="s">
        <v>328</v>
      </c>
      <c r="Z227">
        <v>0</v>
      </c>
      <c r="AA227">
        <v>0</v>
      </c>
    </row>
    <row r="228" spans="1:27" x14ac:dyDescent="0.25">
      <c r="A228" s="21" t="s">
        <v>314</v>
      </c>
      <c r="B228" s="21" t="s">
        <v>315</v>
      </c>
      <c r="C228" s="21" t="s">
        <v>315</v>
      </c>
      <c r="D228" s="21" t="s">
        <v>228</v>
      </c>
      <c r="E228" s="21" t="s">
        <v>212</v>
      </c>
      <c r="F228" s="21" t="s">
        <v>1523</v>
      </c>
      <c r="G228" s="21" t="s">
        <v>1524</v>
      </c>
      <c r="H228" s="21" t="s">
        <v>1525</v>
      </c>
      <c r="I228" s="21" t="s">
        <v>1526</v>
      </c>
      <c r="J228" s="62">
        <v>44942</v>
      </c>
      <c r="K228" s="62">
        <v>44942</v>
      </c>
      <c r="L228" s="62">
        <v>31979</v>
      </c>
      <c r="M228" s="21" t="s">
        <v>341</v>
      </c>
      <c r="N228" s="21" t="s">
        <v>228</v>
      </c>
      <c r="O228" s="63">
        <v>70000</v>
      </c>
      <c r="P228" s="21" t="s">
        <v>708</v>
      </c>
      <c r="Q228" s="21" t="s">
        <v>1527</v>
      </c>
      <c r="R228" s="21" t="s">
        <v>1528</v>
      </c>
      <c r="S228" s="21" t="s">
        <v>753</v>
      </c>
      <c r="T228" s="21" t="s">
        <v>754</v>
      </c>
      <c r="U228" s="21" t="s">
        <v>212</v>
      </c>
      <c r="V228" s="21" t="s">
        <v>326</v>
      </c>
      <c r="W228" s="21" t="s">
        <v>1529</v>
      </c>
      <c r="X228" s="21" t="s">
        <v>328</v>
      </c>
      <c r="Z228">
        <v>0</v>
      </c>
      <c r="AA228">
        <v>0</v>
      </c>
    </row>
    <row r="229" spans="1:27" x14ac:dyDescent="0.25">
      <c r="A229" s="21" t="s">
        <v>314</v>
      </c>
      <c r="B229" s="21" t="s">
        <v>315</v>
      </c>
      <c r="C229" s="21" t="s">
        <v>315</v>
      </c>
      <c r="D229" s="21" t="s">
        <v>240</v>
      </c>
      <c r="E229" s="21" t="s">
        <v>212</v>
      </c>
      <c r="F229" s="21" t="s">
        <v>1530</v>
      </c>
      <c r="G229" s="21" t="s">
        <v>1531</v>
      </c>
      <c r="H229" s="21" t="s">
        <v>1532</v>
      </c>
      <c r="I229" s="21" t="s">
        <v>1533</v>
      </c>
      <c r="J229" s="62">
        <v>45476</v>
      </c>
      <c r="K229" s="62">
        <v>45476</v>
      </c>
      <c r="L229" s="62">
        <v>29860</v>
      </c>
      <c r="M229" s="21" t="s">
        <v>341</v>
      </c>
      <c r="N229" s="21" t="s">
        <v>240</v>
      </c>
      <c r="O229" s="63">
        <v>70000</v>
      </c>
      <c r="P229" s="21" t="s">
        <v>1011</v>
      </c>
      <c r="Q229" s="21" t="s">
        <v>343</v>
      </c>
      <c r="R229" s="21" t="s">
        <v>1534</v>
      </c>
      <c r="S229" s="21" t="s">
        <v>753</v>
      </c>
      <c r="T229" s="21" t="s">
        <v>754</v>
      </c>
      <c r="U229" s="21" t="s">
        <v>212</v>
      </c>
      <c r="V229" s="21" t="s">
        <v>370</v>
      </c>
      <c r="W229" s="21" t="s">
        <v>1535</v>
      </c>
      <c r="X229" s="21" t="s">
        <v>328</v>
      </c>
      <c r="Z229">
        <v>0</v>
      </c>
      <c r="AA229">
        <v>0</v>
      </c>
    </row>
    <row r="230" spans="1:27" x14ac:dyDescent="0.25">
      <c r="A230" s="21" t="s">
        <v>314</v>
      </c>
      <c r="B230" s="21" t="s">
        <v>315</v>
      </c>
      <c r="C230" s="21" t="s">
        <v>315</v>
      </c>
      <c r="D230" s="21" t="s">
        <v>240</v>
      </c>
      <c r="E230" s="21" t="s">
        <v>212</v>
      </c>
      <c r="F230" s="21" t="s">
        <v>1656</v>
      </c>
      <c r="G230" s="21" t="s">
        <v>1657</v>
      </c>
      <c r="H230" s="21" t="s">
        <v>1658</v>
      </c>
      <c r="I230" s="21" t="s">
        <v>1659</v>
      </c>
      <c r="J230" s="62">
        <v>44291</v>
      </c>
      <c r="K230" s="62">
        <v>44291</v>
      </c>
      <c r="L230" s="62">
        <v>35751</v>
      </c>
      <c r="M230" s="21" t="s">
        <v>341</v>
      </c>
      <c r="N230" s="21" t="s">
        <v>240</v>
      </c>
      <c r="O230" s="63">
        <v>60000</v>
      </c>
      <c r="P230" s="21" t="s">
        <v>478</v>
      </c>
      <c r="Q230" s="21" t="s">
        <v>533</v>
      </c>
      <c r="R230" s="21" t="s">
        <v>1660</v>
      </c>
      <c r="S230" s="21" t="s">
        <v>753</v>
      </c>
      <c r="T230" s="21" t="s">
        <v>754</v>
      </c>
      <c r="U230" s="21" t="s">
        <v>1155</v>
      </c>
      <c r="V230" s="21" t="s">
        <v>326</v>
      </c>
      <c r="W230" s="21" t="s">
        <v>1661</v>
      </c>
      <c r="X230" s="21" t="s">
        <v>328</v>
      </c>
      <c r="Z230">
        <v>0</v>
      </c>
      <c r="AA230">
        <v>0</v>
      </c>
    </row>
    <row r="231" spans="1:27" x14ac:dyDescent="0.25">
      <c r="A231" s="21" t="s">
        <v>314</v>
      </c>
      <c r="B231" s="21" t="s">
        <v>315</v>
      </c>
      <c r="C231" s="21" t="s">
        <v>315</v>
      </c>
      <c r="D231" s="21" t="s">
        <v>240</v>
      </c>
      <c r="E231" s="21" t="s">
        <v>212</v>
      </c>
      <c r="F231" s="21" t="s">
        <v>1662</v>
      </c>
      <c r="G231" s="21" t="s">
        <v>1663</v>
      </c>
      <c r="H231" s="21" t="s">
        <v>1658</v>
      </c>
      <c r="I231" s="21" t="s">
        <v>1664</v>
      </c>
      <c r="J231" s="62">
        <v>44532</v>
      </c>
      <c r="K231" s="62">
        <v>44532</v>
      </c>
      <c r="L231" s="62">
        <v>33609</v>
      </c>
      <c r="M231" s="21" t="s">
        <v>341</v>
      </c>
      <c r="N231" s="21" t="s">
        <v>240</v>
      </c>
      <c r="O231" s="63">
        <v>80000</v>
      </c>
      <c r="P231" s="21" t="s">
        <v>478</v>
      </c>
      <c r="Q231" s="21" t="s">
        <v>748</v>
      </c>
      <c r="R231" s="21" t="s">
        <v>1665</v>
      </c>
      <c r="S231" s="21" t="s">
        <v>753</v>
      </c>
      <c r="T231" s="21" t="s">
        <v>754</v>
      </c>
      <c r="U231" s="21" t="s">
        <v>212</v>
      </c>
      <c r="V231" s="21" t="s">
        <v>326</v>
      </c>
      <c r="W231" s="21" t="s">
        <v>1666</v>
      </c>
      <c r="X231" s="21" t="s">
        <v>328</v>
      </c>
      <c r="Z231">
        <v>0</v>
      </c>
      <c r="AA231">
        <v>0</v>
      </c>
    </row>
    <row r="232" spans="1:27" x14ac:dyDescent="0.25">
      <c r="A232" s="21" t="s">
        <v>314</v>
      </c>
      <c r="B232" s="21" t="s">
        <v>315</v>
      </c>
      <c r="C232" s="21" t="s">
        <v>315</v>
      </c>
      <c r="D232" s="21" t="s">
        <v>240</v>
      </c>
      <c r="E232" s="21" t="s">
        <v>212</v>
      </c>
      <c r="F232" s="21" t="s">
        <v>2339</v>
      </c>
      <c r="G232" s="21" t="s">
        <v>2340</v>
      </c>
      <c r="H232" s="21" t="s">
        <v>2341</v>
      </c>
      <c r="I232" s="21" t="s">
        <v>2342</v>
      </c>
      <c r="J232" s="62">
        <v>46139</v>
      </c>
      <c r="K232" s="62">
        <v>46139</v>
      </c>
      <c r="L232" s="62">
        <v>37154</v>
      </c>
      <c r="M232" s="21" t="s">
        <v>341</v>
      </c>
      <c r="N232" s="21" t="s">
        <v>240</v>
      </c>
      <c r="O232" s="63">
        <v>40000</v>
      </c>
      <c r="P232" s="21" t="s">
        <v>834</v>
      </c>
      <c r="Q232" s="21" t="s">
        <v>677</v>
      </c>
      <c r="R232" s="21" t="s">
        <v>2343</v>
      </c>
      <c r="S232" s="21" t="s">
        <v>753</v>
      </c>
      <c r="T232" s="21" t="s">
        <v>754</v>
      </c>
      <c r="U232" s="21" t="s">
        <v>212</v>
      </c>
      <c r="V232" s="21" t="s">
        <v>666</v>
      </c>
      <c r="W232" s="21" t="s">
        <v>2344</v>
      </c>
      <c r="X232" s="21" t="s">
        <v>328</v>
      </c>
      <c r="Z232">
        <v>0</v>
      </c>
      <c r="AA232">
        <v>0</v>
      </c>
    </row>
    <row r="233" spans="1:27" x14ac:dyDescent="0.25">
      <c r="A233" s="21" t="s">
        <v>329</v>
      </c>
      <c r="B233" s="21" t="s">
        <v>315</v>
      </c>
      <c r="C233" s="21" t="s">
        <v>315</v>
      </c>
      <c r="D233" s="21" t="s">
        <v>228</v>
      </c>
      <c r="E233" s="21" t="s">
        <v>212</v>
      </c>
      <c r="F233" s="21" t="s">
        <v>1832</v>
      </c>
      <c r="G233" s="21" t="s">
        <v>1833</v>
      </c>
      <c r="H233" s="21" t="s">
        <v>1834</v>
      </c>
      <c r="I233" s="21" t="s">
        <v>1835</v>
      </c>
      <c r="J233" s="62">
        <v>45768</v>
      </c>
      <c r="K233" s="62">
        <v>45768</v>
      </c>
      <c r="L233" s="62">
        <v>34262</v>
      </c>
      <c r="M233" s="21" t="s">
        <v>341</v>
      </c>
      <c r="N233" s="21" t="s">
        <v>228</v>
      </c>
      <c r="O233" s="63">
        <v>55000</v>
      </c>
      <c r="P233" s="21" t="s">
        <v>1836</v>
      </c>
      <c r="Q233" s="21" t="s">
        <v>461</v>
      </c>
      <c r="R233" s="21" t="s">
        <v>1837</v>
      </c>
      <c r="S233" s="21" t="s">
        <v>753</v>
      </c>
      <c r="T233" s="21" t="s">
        <v>754</v>
      </c>
      <c r="U233" s="21" t="s">
        <v>212</v>
      </c>
      <c r="V233" s="21" t="s">
        <v>326</v>
      </c>
      <c r="W233" s="21" t="s">
        <v>1838</v>
      </c>
      <c r="X233" s="21" t="s">
        <v>328</v>
      </c>
      <c r="Z233">
        <v>0</v>
      </c>
      <c r="AA233">
        <v>0</v>
      </c>
    </row>
    <row r="234" spans="1:27" x14ac:dyDescent="0.25">
      <c r="A234" s="21" t="s">
        <v>2468</v>
      </c>
      <c r="B234" s="21" t="s">
        <v>315</v>
      </c>
      <c r="C234" s="21" t="s">
        <v>315</v>
      </c>
      <c r="D234" s="21" t="s">
        <v>240</v>
      </c>
      <c r="E234" s="21" t="s">
        <v>212</v>
      </c>
      <c r="F234" s="21" t="s">
        <v>2469</v>
      </c>
      <c r="G234" s="21" t="s">
        <v>2470</v>
      </c>
      <c r="H234" s="21" t="s">
        <v>2471</v>
      </c>
      <c r="I234" s="21" t="s">
        <v>2472</v>
      </c>
      <c r="J234" s="62">
        <v>46210</v>
      </c>
      <c r="K234" s="62">
        <v>46210</v>
      </c>
      <c r="L234" s="62">
        <v>34221</v>
      </c>
      <c r="M234" s="21" t="s">
        <v>341</v>
      </c>
      <c r="N234" s="21" t="s">
        <v>240</v>
      </c>
      <c r="O234" s="63">
        <v>70000</v>
      </c>
      <c r="P234" s="21" t="s">
        <v>546</v>
      </c>
      <c r="Q234" s="21" t="s">
        <v>787</v>
      </c>
      <c r="R234" s="21" t="s">
        <v>2473</v>
      </c>
      <c r="S234" s="21"/>
      <c r="T234" s="21"/>
      <c r="U234" s="21" t="s">
        <v>212</v>
      </c>
      <c r="V234" s="21" t="s">
        <v>326</v>
      </c>
      <c r="W234" s="21" t="s">
        <v>2474</v>
      </c>
      <c r="X234" s="21" t="s">
        <v>328</v>
      </c>
      <c r="Z234">
        <v>0</v>
      </c>
      <c r="AA234">
        <v>0</v>
      </c>
    </row>
    <row r="235" spans="1:27" x14ac:dyDescent="0.25">
      <c r="A235" s="21" t="s">
        <v>314</v>
      </c>
      <c r="B235" s="21" t="s">
        <v>315</v>
      </c>
      <c r="C235" s="21" t="s">
        <v>315</v>
      </c>
      <c r="D235" s="21" t="s">
        <v>240</v>
      </c>
      <c r="E235" s="21" t="s">
        <v>212</v>
      </c>
      <c r="F235" s="21" t="s">
        <v>1956</v>
      </c>
      <c r="G235" s="21" t="s">
        <v>1957</v>
      </c>
      <c r="H235" s="21" t="s">
        <v>1038</v>
      </c>
      <c r="I235" s="21" t="s">
        <v>540</v>
      </c>
      <c r="J235" s="62">
        <v>44697</v>
      </c>
      <c r="K235" s="62">
        <v>44697</v>
      </c>
      <c r="L235" s="62">
        <v>32879</v>
      </c>
      <c r="M235" s="21" t="s">
        <v>341</v>
      </c>
      <c r="N235" s="21" t="s">
        <v>240</v>
      </c>
      <c r="O235" s="63">
        <v>75000</v>
      </c>
      <c r="P235" s="21" t="s">
        <v>867</v>
      </c>
      <c r="Q235" s="21" t="s">
        <v>719</v>
      </c>
      <c r="R235" s="21" t="s">
        <v>1958</v>
      </c>
      <c r="S235" s="21" t="s">
        <v>753</v>
      </c>
      <c r="T235" s="21" t="s">
        <v>754</v>
      </c>
      <c r="U235" s="21" t="s">
        <v>212</v>
      </c>
      <c r="V235" s="21" t="s">
        <v>326</v>
      </c>
      <c r="W235" s="21" t="s">
        <v>1959</v>
      </c>
      <c r="X235" s="21" t="s">
        <v>328</v>
      </c>
      <c r="Z235">
        <v>0</v>
      </c>
      <c r="AA235">
        <v>0</v>
      </c>
    </row>
    <row r="236" spans="1:27" x14ac:dyDescent="0.25">
      <c r="A236" s="21" t="s">
        <v>329</v>
      </c>
      <c r="B236" s="21" t="s">
        <v>315</v>
      </c>
      <c r="C236" s="21" t="s">
        <v>315</v>
      </c>
      <c r="D236" s="21" t="s">
        <v>240</v>
      </c>
      <c r="E236" s="21" t="s">
        <v>212</v>
      </c>
      <c r="F236" s="21" t="s">
        <v>1996</v>
      </c>
      <c r="G236" s="21" t="s">
        <v>1997</v>
      </c>
      <c r="H236" s="21" t="s">
        <v>1998</v>
      </c>
      <c r="I236" s="21" t="s">
        <v>751</v>
      </c>
      <c r="J236" s="62">
        <v>45639</v>
      </c>
      <c r="K236" s="62">
        <v>45639</v>
      </c>
      <c r="L236" s="62">
        <v>36173</v>
      </c>
      <c r="M236" s="21" t="s">
        <v>319</v>
      </c>
      <c r="N236" s="21" t="s">
        <v>240</v>
      </c>
      <c r="O236" s="63">
        <v>80000</v>
      </c>
      <c r="P236" s="21" t="s">
        <v>478</v>
      </c>
      <c r="Q236" s="21" t="s">
        <v>752</v>
      </c>
      <c r="R236" s="21"/>
      <c r="S236" s="21" t="s">
        <v>2453</v>
      </c>
      <c r="T236" s="21" t="s">
        <v>2454</v>
      </c>
      <c r="U236" s="21" t="s">
        <v>2455</v>
      </c>
      <c r="V236" s="21" t="s">
        <v>326</v>
      </c>
      <c r="W236" s="21"/>
      <c r="X236" s="21" t="s">
        <v>328</v>
      </c>
      <c r="Z236">
        <v>0</v>
      </c>
      <c r="AA236">
        <v>0</v>
      </c>
    </row>
    <row r="237" spans="1:27" x14ac:dyDescent="0.25">
      <c r="A237" s="21" t="s">
        <v>314</v>
      </c>
      <c r="B237" s="21" t="s">
        <v>315</v>
      </c>
      <c r="C237" s="21" t="s">
        <v>315</v>
      </c>
      <c r="D237" s="21" t="s">
        <v>240</v>
      </c>
      <c r="E237" s="21" t="s">
        <v>212</v>
      </c>
      <c r="F237" s="21" t="s">
        <v>2016</v>
      </c>
      <c r="G237" s="21" t="s">
        <v>2017</v>
      </c>
      <c r="H237" s="21" t="s">
        <v>1053</v>
      </c>
      <c r="I237" s="21" t="s">
        <v>426</v>
      </c>
      <c r="J237" s="62">
        <v>44928</v>
      </c>
      <c r="K237" s="62">
        <v>44928</v>
      </c>
      <c r="L237" s="62">
        <v>37309</v>
      </c>
      <c r="M237" s="21" t="s">
        <v>341</v>
      </c>
      <c r="N237" s="21" t="s">
        <v>240</v>
      </c>
      <c r="O237" s="63">
        <v>60000</v>
      </c>
      <c r="P237" s="21" t="s">
        <v>478</v>
      </c>
      <c r="Q237" s="21" t="s">
        <v>493</v>
      </c>
      <c r="R237" s="21" t="s">
        <v>2018</v>
      </c>
      <c r="S237" s="21" t="s">
        <v>753</v>
      </c>
      <c r="T237" s="21" t="s">
        <v>754</v>
      </c>
      <c r="U237" s="21" t="s">
        <v>212</v>
      </c>
      <c r="V237" s="21" t="s">
        <v>326</v>
      </c>
      <c r="W237" s="21" t="s">
        <v>2019</v>
      </c>
      <c r="X237" s="21" t="s">
        <v>328</v>
      </c>
      <c r="Z237">
        <v>0</v>
      </c>
      <c r="AA237">
        <v>0</v>
      </c>
    </row>
    <row r="238" spans="1:27" x14ac:dyDescent="0.25">
      <c r="A238" s="21" t="s">
        <v>337</v>
      </c>
      <c r="B238" s="21" t="s">
        <v>315</v>
      </c>
      <c r="C238" s="21" t="s">
        <v>315</v>
      </c>
      <c r="D238" s="21" t="s">
        <v>240</v>
      </c>
      <c r="E238" s="21" t="s">
        <v>212</v>
      </c>
      <c r="F238" s="21" t="s">
        <v>2101</v>
      </c>
      <c r="G238" s="21" t="s">
        <v>2102</v>
      </c>
      <c r="H238" s="21" t="s">
        <v>2103</v>
      </c>
      <c r="I238" s="21" t="s">
        <v>2104</v>
      </c>
      <c r="J238" s="62">
        <v>45182</v>
      </c>
      <c r="K238" s="62">
        <v>45182</v>
      </c>
      <c r="L238" s="62">
        <v>34591</v>
      </c>
      <c r="M238" s="21" t="s">
        <v>341</v>
      </c>
      <c r="N238" s="21" t="s">
        <v>240</v>
      </c>
      <c r="O238" s="63">
        <v>60000</v>
      </c>
      <c r="P238" s="21" t="s">
        <v>478</v>
      </c>
      <c r="Q238" s="21" t="s">
        <v>2105</v>
      </c>
      <c r="R238" s="21" t="s">
        <v>2106</v>
      </c>
      <c r="S238" s="21" t="s">
        <v>753</v>
      </c>
      <c r="T238" s="21" t="s">
        <v>754</v>
      </c>
      <c r="U238" s="21" t="s">
        <v>1155</v>
      </c>
      <c r="V238" s="21" t="s">
        <v>666</v>
      </c>
      <c r="W238" s="21" t="s">
        <v>2107</v>
      </c>
      <c r="X238" s="21" t="s">
        <v>328</v>
      </c>
      <c r="Z238">
        <v>0</v>
      </c>
      <c r="AA238">
        <v>0</v>
      </c>
    </row>
    <row r="239" spans="1:27" x14ac:dyDescent="0.25">
      <c r="A239" s="21" t="s">
        <v>329</v>
      </c>
      <c r="B239" s="21" t="s">
        <v>315</v>
      </c>
      <c r="C239" s="21" t="s">
        <v>315</v>
      </c>
      <c r="D239" s="21" t="s">
        <v>213</v>
      </c>
      <c r="E239" s="21" t="s">
        <v>213</v>
      </c>
      <c r="F239" s="21" t="s">
        <v>1471</v>
      </c>
      <c r="G239" s="21" t="s">
        <v>1472</v>
      </c>
      <c r="H239" s="21" t="s">
        <v>1473</v>
      </c>
      <c r="I239" s="21" t="s">
        <v>513</v>
      </c>
      <c r="J239" s="62">
        <v>45201</v>
      </c>
      <c r="K239" s="62">
        <v>45201</v>
      </c>
      <c r="L239" s="62">
        <v>32087</v>
      </c>
      <c r="M239" s="21" t="s">
        <v>319</v>
      </c>
      <c r="N239" s="21" t="s">
        <v>213</v>
      </c>
      <c r="O239" s="63">
        <v>190.79</v>
      </c>
      <c r="P239" s="21" t="s">
        <v>506</v>
      </c>
      <c r="Q239" s="21" t="s">
        <v>372</v>
      </c>
      <c r="R239" s="21" t="s">
        <v>1474</v>
      </c>
      <c r="S239" s="21" t="s">
        <v>705</v>
      </c>
      <c r="T239" s="21" t="s">
        <v>706</v>
      </c>
      <c r="U239" s="21" t="s">
        <v>707</v>
      </c>
      <c r="V239" s="21" t="s">
        <v>370</v>
      </c>
      <c r="W239" s="21" t="s">
        <v>1475</v>
      </c>
      <c r="X239" s="21" t="s">
        <v>328</v>
      </c>
      <c r="Z239">
        <v>0</v>
      </c>
      <c r="AA239">
        <v>0</v>
      </c>
    </row>
    <row r="240" spans="1:27" x14ac:dyDescent="0.25">
      <c r="A240" s="21" t="s">
        <v>337</v>
      </c>
      <c r="B240" s="21" t="s">
        <v>315</v>
      </c>
      <c r="C240" s="21" t="s">
        <v>315</v>
      </c>
      <c r="D240" s="21" t="s">
        <v>240</v>
      </c>
      <c r="E240" s="21" t="s">
        <v>213</v>
      </c>
      <c r="F240" s="21" t="s">
        <v>1698</v>
      </c>
      <c r="G240" s="21" t="s">
        <v>1699</v>
      </c>
      <c r="H240" s="21" t="s">
        <v>670</v>
      </c>
      <c r="I240" s="21" t="s">
        <v>751</v>
      </c>
      <c r="J240" s="62">
        <v>44774</v>
      </c>
      <c r="K240" s="62">
        <v>44774</v>
      </c>
      <c r="L240" s="62">
        <v>31990</v>
      </c>
      <c r="M240" s="21" t="s">
        <v>319</v>
      </c>
      <c r="N240" s="21" t="s">
        <v>240</v>
      </c>
      <c r="O240" s="63">
        <v>85000</v>
      </c>
      <c r="P240" s="21" t="s">
        <v>1700</v>
      </c>
      <c r="Q240" s="21" t="s">
        <v>1701</v>
      </c>
      <c r="R240" s="21" t="s">
        <v>1702</v>
      </c>
      <c r="S240" s="21" t="s">
        <v>1703</v>
      </c>
      <c r="T240" s="21" t="s">
        <v>1704</v>
      </c>
      <c r="U240" s="21" t="s">
        <v>1705</v>
      </c>
      <c r="V240" s="21" t="s">
        <v>666</v>
      </c>
      <c r="W240" s="21" t="s">
        <v>1706</v>
      </c>
      <c r="X240" s="21" t="s">
        <v>328</v>
      </c>
      <c r="Z240">
        <v>0</v>
      </c>
      <c r="AA240">
        <v>0</v>
      </c>
    </row>
    <row r="241" spans="1:27" x14ac:dyDescent="0.25">
      <c r="A241" s="21" t="s">
        <v>314</v>
      </c>
      <c r="B241" s="21" t="s">
        <v>315</v>
      </c>
      <c r="C241" s="21" t="s">
        <v>315</v>
      </c>
      <c r="D241" s="21" t="s">
        <v>240</v>
      </c>
      <c r="E241" s="21" t="s">
        <v>213</v>
      </c>
      <c r="F241" s="21" t="s">
        <v>1762</v>
      </c>
      <c r="G241" s="21" t="s">
        <v>1763</v>
      </c>
      <c r="H241" s="21" t="s">
        <v>493</v>
      </c>
      <c r="I241" s="21" t="s">
        <v>1764</v>
      </c>
      <c r="J241" s="62">
        <v>43630</v>
      </c>
      <c r="K241" s="62">
        <v>43630</v>
      </c>
      <c r="L241" s="62">
        <v>33520</v>
      </c>
      <c r="M241" s="21" t="s">
        <v>319</v>
      </c>
      <c r="N241" s="21" t="s">
        <v>240</v>
      </c>
      <c r="O241" s="63">
        <v>61087</v>
      </c>
      <c r="P241" s="21" t="s">
        <v>1765</v>
      </c>
      <c r="Q241" s="21" t="s">
        <v>787</v>
      </c>
      <c r="R241" s="21"/>
      <c r="S241" s="21" t="s">
        <v>1766</v>
      </c>
      <c r="T241" s="21" t="s">
        <v>1767</v>
      </c>
      <c r="U241" s="21" t="s">
        <v>1768</v>
      </c>
      <c r="V241" s="21" t="s">
        <v>666</v>
      </c>
      <c r="W241" s="21" t="s">
        <v>1769</v>
      </c>
      <c r="X241" s="21" t="s">
        <v>328</v>
      </c>
      <c r="Z241">
        <v>0</v>
      </c>
      <c r="AA241">
        <v>0</v>
      </c>
    </row>
    <row r="242" spans="1:27" x14ac:dyDescent="0.25">
      <c r="A242" s="21" t="s">
        <v>329</v>
      </c>
      <c r="B242" s="21" t="s">
        <v>315</v>
      </c>
      <c r="C242" s="21" t="s">
        <v>315</v>
      </c>
      <c r="D242" s="21" t="s">
        <v>213</v>
      </c>
      <c r="E242" s="21" t="s">
        <v>213</v>
      </c>
      <c r="F242" s="21" t="s">
        <v>1801</v>
      </c>
      <c r="G242" s="21" t="s">
        <v>1802</v>
      </c>
      <c r="H242" s="21" t="s">
        <v>493</v>
      </c>
      <c r="I242" s="21" t="s">
        <v>1803</v>
      </c>
      <c r="J242" s="62">
        <v>45506</v>
      </c>
      <c r="K242" s="62">
        <v>45506</v>
      </c>
      <c r="L242" s="62">
        <v>27914</v>
      </c>
      <c r="M242" s="21" t="s">
        <v>319</v>
      </c>
      <c r="N242" s="21" t="s">
        <v>213</v>
      </c>
      <c r="O242" s="63">
        <v>190.79</v>
      </c>
      <c r="P242" s="21" t="s">
        <v>1804</v>
      </c>
      <c r="Q242" s="21" t="s">
        <v>374</v>
      </c>
      <c r="R242" s="21" t="s">
        <v>1805</v>
      </c>
      <c r="S242" s="21" t="s">
        <v>705</v>
      </c>
      <c r="T242" s="21" t="s">
        <v>706</v>
      </c>
      <c r="U242" s="21" t="s">
        <v>707</v>
      </c>
      <c r="V242" s="21" t="s">
        <v>326</v>
      </c>
      <c r="W242" s="21" t="s">
        <v>1806</v>
      </c>
      <c r="X242" s="21" t="s">
        <v>328</v>
      </c>
      <c r="Z242">
        <v>0</v>
      </c>
      <c r="AA242">
        <v>0</v>
      </c>
    </row>
    <row r="243" spans="1:27" x14ac:dyDescent="0.25">
      <c r="A243" s="21" t="s">
        <v>337</v>
      </c>
      <c r="B243" s="21" t="s">
        <v>315</v>
      </c>
      <c r="C243" s="21" t="s">
        <v>315</v>
      </c>
      <c r="D243" s="21" t="s">
        <v>213</v>
      </c>
      <c r="E243" s="21" t="s">
        <v>213</v>
      </c>
      <c r="F243" s="21" t="s">
        <v>1855</v>
      </c>
      <c r="G243" s="21" t="s">
        <v>1856</v>
      </c>
      <c r="H243" s="21" t="s">
        <v>1857</v>
      </c>
      <c r="I243" s="21" t="s">
        <v>1103</v>
      </c>
      <c r="J243" s="62">
        <v>43313</v>
      </c>
      <c r="K243" s="62">
        <v>43313</v>
      </c>
      <c r="L243" s="62">
        <v>29544</v>
      </c>
      <c r="M243" s="21" t="s">
        <v>319</v>
      </c>
      <c r="N243" s="21" t="s">
        <v>213</v>
      </c>
      <c r="O243" s="63">
        <v>190.79</v>
      </c>
      <c r="P243" s="21" t="s">
        <v>1216</v>
      </c>
      <c r="Q243" s="21" t="s">
        <v>372</v>
      </c>
      <c r="R243" s="21"/>
      <c r="S243" s="21" t="s">
        <v>1858</v>
      </c>
      <c r="T243" s="21" t="s">
        <v>1859</v>
      </c>
      <c r="U243" s="21" t="s">
        <v>1860</v>
      </c>
      <c r="V243" s="21" t="s">
        <v>326</v>
      </c>
      <c r="W243" s="21" t="s">
        <v>1861</v>
      </c>
      <c r="X243" s="21" t="s">
        <v>328</v>
      </c>
      <c r="Z243">
        <v>0</v>
      </c>
      <c r="AA243">
        <v>0</v>
      </c>
    </row>
    <row r="244" spans="1:27" x14ac:dyDescent="0.25">
      <c r="A244" s="21" t="s">
        <v>314</v>
      </c>
      <c r="B244" s="21" t="s">
        <v>315</v>
      </c>
      <c r="C244" s="21" t="s">
        <v>315</v>
      </c>
      <c r="D244" s="21" t="s">
        <v>213</v>
      </c>
      <c r="E244" s="21" t="s">
        <v>213</v>
      </c>
      <c r="F244" s="21" t="s">
        <v>1982</v>
      </c>
      <c r="G244" s="21" t="s">
        <v>1983</v>
      </c>
      <c r="H244" s="21" t="s">
        <v>1423</v>
      </c>
      <c r="I244" s="21" t="s">
        <v>672</v>
      </c>
      <c r="J244" s="62">
        <v>45901</v>
      </c>
      <c r="K244" s="62">
        <v>45901</v>
      </c>
      <c r="L244" s="62">
        <v>28707</v>
      </c>
      <c r="M244" s="21" t="s">
        <v>319</v>
      </c>
      <c r="N244" s="21" t="s">
        <v>213</v>
      </c>
      <c r="O244" s="63">
        <v>190.79</v>
      </c>
      <c r="P244" s="21" t="s">
        <v>1984</v>
      </c>
      <c r="Q244" s="21" t="s">
        <v>372</v>
      </c>
      <c r="R244" s="21" t="s">
        <v>1985</v>
      </c>
      <c r="S244" s="21" t="s">
        <v>662</v>
      </c>
      <c r="T244" s="21" t="s">
        <v>663</v>
      </c>
      <c r="U244" s="21" t="s">
        <v>1986</v>
      </c>
      <c r="V244" s="21" t="s">
        <v>326</v>
      </c>
      <c r="W244" s="21" t="s">
        <v>1987</v>
      </c>
      <c r="X244" s="21" t="s">
        <v>375</v>
      </c>
      <c r="Z244">
        <v>0</v>
      </c>
      <c r="AA244">
        <v>0</v>
      </c>
    </row>
    <row r="245" spans="1:27" x14ac:dyDescent="0.25">
      <c r="A245" s="21" t="s">
        <v>337</v>
      </c>
      <c r="B245" s="21" t="s">
        <v>315</v>
      </c>
      <c r="C245" s="21" t="s">
        <v>315</v>
      </c>
      <c r="D245" s="21" t="s">
        <v>204</v>
      </c>
      <c r="E245" s="21" t="s">
        <v>204</v>
      </c>
      <c r="F245" s="21" t="s">
        <v>1219</v>
      </c>
      <c r="G245" s="21" t="s">
        <v>1220</v>
      </c>
      <c r="H245" s="21" t="s">
        <v>1221</v>
      </c>
      <c r="I245" s="21" t="s">
        <v>801</v>
      </c>
      <c r="J245" s="62">
        <v>45300</v>
      </c>
      <c r="K245" s="62">
        <v>45300</v>
      </c>
      <c r="L245" s="62">
        <v>25569</v>
      </c>
      <c r="M245" s="21" t="s">
        <v>319</v>
      </c>
      <c r="N245" s="21" t="s">
        <v>204</v>
      </c>
      <c r="O245" s="63">
        <v>156.66999999999999</v>
      </c>
      <c r="P245" s="21" t="s">
        <v>1222</v>
      </c>
      <c r="Q245" s="21" t="s">
        <v>1223</v>
      </c>
      <c r="R245" s="21" t="s">
        <v>1224</v>
      </c>
      <c r="S245" s="21" t="s">
        <v>396</v>
      </c>
      <c r="T245" s="21" t="s">
        <v>397</v>
      </c>
      <c r="U245" s="21" t="s">
        <v>398</v>
      </c>
      <c r="V245" s="21" t="s">
        <v>355</v>
      </c>
      <c r="W245" s="21" t="s">
        <v>1225</v>
      </c>
      <c r="X245" s="21" t="s">
        <v>375</v>
      </c>
      <c r="Z245">
        <v>0</v>
      </c>
      <c r="AA245">
        <v>0</v>
      </c>
    </row>
    <row r="246" spans="1:27" x14ac:dyDescent="0.25">
      <c r="A246" s="21" t="s">
        <v>329</v>
      </c>
      <c r="B246" s="21" t="s">
        <v>315</v>
      </c>
      <c r="C246" s="21" t="s">
        <v>315</v>
      </c>
      <c r="D246" s="21" t="s">
        <v>204</v>
      </c>
      <c r="E246" s="21" t="s">
        <v>204</v>
      </c>
      <c r="F246" s="21" t="s">
        <v>1317</v>
      </c>
      <c r="G246" s="21" t="s">
        <v>1318</v>
      </c>
      <c r="H246" s="21" t="s">
        <v>1319</v>
      </c>
      <c r="I246" s="21" t="s">
        <v>727</v>
      </c>
      <c r="J246" s="62">
        <v>45435</v>
      </c>
      <c r="K246" s="62">
        <v>45435</v>
      </c>
      <c r="L246" s="62">
        <v>32964</v>
      </c>
      <c r="M246" s="21" t="s">
        <v>341</v>
      </c>
      <c r="N246" s="21" t="s">
        <v>204</v>
      </c>
      <c r="O246" s="63">
        <v>185.66</v>
      </c>
      <c r="P246" s="21" t="s">
        <v>1320</v>
      </c>
      <c r="Q246" s="21" t="s">
        <v>528</v>
      </c>
      <c r="R246" s="21" t="s">
        <v>1321</v>
      </c>
      <c r="S246" s="21" t="s">
        <v>396</v>
      </c>
      <c r="T246" s="21" t="s">
        <v>397</v>
      </c>
      <c r="U246" s="21" t="s">
        <v>398</v>
      </c>
      <c r="V246" s="21" t="s">
        <v>326</v>
      </c>
      <c r="W246" s="21" t="s">
        <v>1322</v>
      </c>
      <c r="X246" s="21" t="s">
        <v>328</v>
      </c>
      <c r="Z246">
        <v>0</v>
      </c>
      <c r="AA246">
        <v>0</v>
      </c>
    </row>
    <row r="247" spans="1:27" x14ac:dyDescent="0.25">
      <c r="A247" s="21" t="s">
        <v>502</v>
      </c>
      <c r="B247" s="21" t="s">
        <v>315</v>
      </c>
      <c r="C247" s="21" t="s">
        <v>315</v>
      </c>
      <c r="D247" s="21" t="s">
        <v>204</v>
      </c>
      <c r="E247" s="21" t="s">
        <v>204</v>
      </c>
      <c r="F247" s="21" t="s">
        <v>1377</v>
      </c>
      <c r="G247" s="21" t="s">
        <v>1378</v>
      </c>
      <c r="H247" s="21" t="s">
        <v>728</v>
      </c>
      <c r="I247" s="21" t="s">
        <v>1379</v>
      </c>
      <c r="J247" s="62">
        <v>43530</v>
      </c>
      <c r="K247" s="62">
        <v>43530</v>
      </c>
      <c r="L247" s="62">
        <v>31668</v>
      </c>
      <c r="M247" s="21" t="s">
        <v>341</v>
      </c>
      <c r="N247" s="21" t="s">
        <v>204</v>
      </c>
      <c r="O247" s="63">
        <v>163.69</v>
      </c>
      <c r="P247" s="21" t="s">
        <v>1030</v>
      </c>
      <c r="Q247" s="21" t="s">
        <v>1380</v>
      </c>
      <c r="R247" s="21" t="s">
        <v>1381</v>
      </c>
      <c r="S247" s="21" t="s">
        <v>396</v>
      </c>
      <c r="T247" s="21" t="s">
        <v>397</v>
      </c>
      <c r="U247" s="21" t="s">
        <v>398</v>
      </c>
      <c r="V247" s="21" t="s">
        <v>355</v>
      </c>
      <c r="W247" s="21" t="s">
        <v>1382</v>
      </c>
      <c r="X247" s="21" t="s">
        <v>328</v>
      </c>
      <c r="Z247">
        <v>0</v>
      </c>
      <c r="AA247">
        <v>0</v>
      </c>
    </row>
    <row r="248" spans="1:27" x14ac:dyDescent="0.25">
      <c r="A248" s="21" t="s">
        <v>314</v>
      </c>
      <c r="B248" s="21" t="s">
        <v>315</v>
      </c>
      <c r="C248" s="21" t="s">
        <v>315</v>
      </c>
      <c r="D248" s="21" t="s">
        <v>204</v>
      </c>
      <c r="E248" s="21" t="s">
        <v>204</v>
      </c>
      <c r="F248" s="21" t="s">
        <v>1405</v>
      </c>
      <c r="G248" s="21" t="s">
        <v>1406</v>
      </c>
      <c r="H248" s="21" t="s">
        <v>729</v>
      </c>
      <c r="I248" s="21" t="s">
        <v>741</v>
      </c>
      <c r="J248" s="62">
        <v>37767</v>
      </c>
      <c r="K248" s="62">
        <v>37767</v>
      </c>
      <c r="L248" s="62">
        <v>28898</v>
      </c>
      <c r="M248" s="21" t="s">
        <v>319</v>
      </c>
      <c r="N248" s="21" t="s">
        <v>204</v>
      </c>
      <c r="O248" s="63">
        <v>197.56</v>
      </c>
      <c r="P248" s="21" t="s">
        <v>460</v>
      </c>
      <c r="Q248" s="21" t="s">
        <v>469</v>
      </c>
      <c r="R248" s="21" t="s">
        <v>2452</v>
      </c>
      <c r="S248" s="21" t="s">
        <v>549</v>
      </c>
      <c r="T248" s="21" t="s">
        <v>550</v>
      </c>
      <c r="U248" s="21" t="s">
        <v>551</v>
      </c>
      <c r="V248" s="21" t="s">
        <v>370</v>
      </c>
      <c r="W248" s="21" t="s">
        <v>1407</v>
      </c>
      <c r="X248" s="21" t="s">
        <v>328</v>
      </c>
      <c r="Z248">
        <v>0</v>
      </c>
      <c r="AA248">
        <v>0</v>
      </c>
    </row>
    <row r="249" spans="1:27" x14ac:dyDescent="0.25">
      <c r="A249" s="21" t="s">
        <v>314</v>
      </c>
      <c r="B249" s="21" t="s">
        <v>315</v>
      </c>
      <c r="C249" s="21" t="s">
        <v>315</v>
      </c>
      <c r="D249" s="21" t="s">
        <v>204</v>
      </c>
      <c r="E249" s="21" t="s">
        <v>204</v>
      </c>
      <c r="F249" s="21" t="s">
        <v>2345</v>
      </c>
      <c r="G249" s="21" t="s">
        <v>2346</v>
      </c>
      <c r="H249" s="21" t="s">
        <v>2347</v>
      </c>
      <c r="I249" s="21" t="s">
        <v>619</v>
      </c>
      <c r="J249" s="62">
        <v>46139</v>
      </c>
      <c r="K249" s="62">
        <v>46139</v>
      </c>
      <c r="L249" s="62">
        <v>26441</v>
      </c>
      <c r="M249" s="21" t="s">
        <v>341</v>
      </c>
      <c r="N249" s="21" t="s">
        <v>204</v>
      </c>
      <c r="O249" s="63">
        <v>155.56</v>
      </c>
      <c r="P249" s="21" t="s">
        <v>2348</v>
      </c>
      <c r="Q249" s="21" t="s">
        <v>927</v>
      </c>
      <c r="R249" s="21" t="s">
        <v>2349</v>
      </c>
      <c r="S249" s="21" t="s">
        <v>345</v>
      </c>
      <c r="T249" s="21" t="s">
        <v>346</v>
      </c>
      <c r="U249" s="21" t="s">
        <v>422</v>
      </c>
      <c r="V249" s="21" t="s">
        <v>326</v>
      </c>
      <c r="W249" s="21" t="s">
        <v>2350</v>
      </c>
      <c r="X249" s="21" t="s">
        <v>328</v>
      </c>
      <c r="Z249">
        <v>0</v>
      </c>
      <c r="AA249">
        <v>0</v>
      </c>
    </row>
    <row r="250" spans="1:27" x14ac:dyDescent="0.25">
      <c r="A250" s="21" t="s">
        <v>329</v>
      </c>
      <c r="B250" s="21" t="s">
        <v>315</v>
      </c>
      <c r="C250" s="21" t="s">
        <v>315</v>
      </c>
      <c r="D250" s="21" t="s">
        <v>204</v>
      </c>
      <c r="E250" s="21" t="s">
        <v>204</v>
      </c>
      <c r="F250" s="21" t="s">
        <v>1925</v>
      </c>
      <c r="G250" s="21" t="s">
        <v>1926</v>
      </c>
      <c r="H250" s="21" t="s">
        <v>1927</v>
      </c>
      <c r="I250" s="21" t="s">
        <v>1578</v>
      </c>
      <c r="J250" s="62">
        <v>41019</v>
      </c>
      <c r="K250" s="62">
        <v>38447</v>
      </c>
      <c r="L250" s="62">
        <v>29956</v>
      </c>
      <c r="M250" s="21" t="s">
        <v>341</v>
      </c>
      <c r="N250" s="21" t="s">
        <v>204</v>
      </c>
      <c r="O250" s="63">
        <v>197.56</v>
      </c>
      <c r="P250" s="21" t="s">
        <v>676</v>
      </c>
      <c r="Q250" s="21" t="s">
        <v>493</v>
      </c>
      <c r="R250" s="21" t="s">
        <v>1928</v>
      </c>
      <c r="S250" s="21" t="s">
        <v>396</v>
      </c>
      <c r="T250" s="21" t="s">
        <v>397</v>
      </c>
      <c r="U250" s="21" t="s">
        <v>398</v>
      </c>
      <c r="V250" s="21" t="s">
        <v>370</v>
      </c>
      <c r="W250" s="21" t="s">
        <v>1929</v>
      </c>
      <c r="X250" s="21" t="s">
        <v>328</v>
      </c>
      <c r="Z250">
        <v>0</v>
      </c>
      <c r="AA250">
        <v>0</v>
      </c>
    </row>
    <row r="251" spans="1:27" x14ac:dyDescent="0.25">
      <c r="A251" s="21" t="s">
        <v>314</v>
      </c>
      <c r="B251" s="21" t="s">
        <v>315</v>
      </c>
      <c r="C251" s="21" t="s">
        <v>315</v>
      </c>
      <c r="D251" s="21" t="s">
        <v>204</v>
      </c>
      <c r="E251" s="21" t="s">
        <v>204</v>
      </c>
      <c r="F251" s="21" t="s">
        <v>1960</v>
      </c>
      <c r="G251" s="21" t="s">
        <v>1961</v>
      </c>
      <c r="H251" s="21" t="s">
        <v>1962</v>
      </c>
      <c r="I251" s="21" t="s">
        <v>1963</v>
      </c>
      <c r="J251" s="62">
        <v>44714</v>
      </c>
      <c r="K251" s="62">
        <v>44714</v>
      </c>
      <c r="L251" s="62">
        <v>28590</v>
      </c>
      <c r="M251" s="21" t="s">
        <v>341</v>
      </c>
      <c r="N251" s="21" t="s">
        <v>204</v>
      </c>
      <c r="O251" s="63">
        <v>282.24</v>
      </c>
      <c r="P251" s="21" t="s">
        <v>1964</v>
      </c>
      <c r="Q251" s="21" t="s">
        <v>1965</v>
      </c>
      <c r="R251" s="21" t="s">
        <v>1966</v>
      </c>
      <c r="S251" s="21" t="s">
        <v>717</v>
      </c>
      <c r="T251" s="21" t="s">
        <v>718</v>
      </c>
      <c r="U251" s="21" t="s">
        <v>1967</v>
      </c>
      <c r="V251" s="21" t="s">
        <v>326</v>
      </c>
      <c r="W251" s="21" t="s">
        <v>1968</v>
      </c>
      <c r="X251" s="21" t="s">
        <v>328</v>
      </c>
      <c r="Z251">
        <v>0</v>
      </c>
      <c r="AA251">
        <v>0</v>
      </c>
    </row>
    <row r="252" spans="1:27" x14ac:dyDescent="0.25">
      <c r="A252" s="21" t="s">
        <v>364</v>
      </c>
      <c r="B252" s="21" t="s">
        <v>315</v>
      </c>
      <c r="C252" s="21" t="s">
        <v>315</v>
      </c>
      <c r="D252" s="21" t="s">
        <v>204</v>
      </c>
      <c r="E252" s="21" t="s">
        <v>204</v>
      </c>
      <c r="F252" s="21" t="s">
        <v>1999</v>
      </c>
      <c r="G252" s="21" t="s">
        <v>2000</v>
      </c>
      <c r="H252" s="21" t="s">
        <v>881</v>
      </c>
      <c r="I252" s="21" t="s">
        <v>897</v>
      </c>
      <c r="J252" s="62">
        <v>44928</v>
      </c>
      <c r="K252" s="62">
        <v>44928</v>
      </c>
      <c r="L252" s="62">
        <v>35165</v>
      </c>
      <c r="M252" s="21" t="s">
        <v>319</v>
      </c>
      <c r="N252" s="21" t="s">
        <v>204</v>
      </c>
      <c r="O252" s="63">
        <v>181.61</v>
      </c>
      <c r="P252" s="21" t="s">
        <v>694</v>
      </c>
      <c r="Q252" s="21" t="s">
        <v>1252</v>
      </c>
      <c r="R252" s="21" t="s">
        <v>2001</v>
      </c>
      <c r="S252" s="21" t="s">
        <v>549</v>
      </c>
      <c r="T252" s="21" t="s">
        <v>550</v>
      </c>
      <c r="U252" s="21" t="s">
        <v>551</v>
      </c>
      <c r="V252" s="21" t="s">
        <v>450</v>
      </c>
      <c r="W252" s="21" t="s">
        <v>2002</v>
      </c>
      <c r="X252" s="21" t="s">
        <v>328</v>
      </c>
      <c r="Z252">
        <v>0</v>
      </c>
      <c r="AA252">
        <v>0</v>
      </c>
    </row>
    <row r="253" spans="1:27" x14ac:dyDescent="0.25">
      <c r="A253" s="21" t="s">
        <v>510</v>
      </c>
      <c r="B253" s="21" t="s">
        <v>315</v>
      </c>
      <c r="C253" s="21" t="s">
        <v>315</v>
      </c>
      <c r="D253" s="21" t="s">
        <v>204</v>
      </c>
      <c r="E253" s="21" t="s">
        <v>204</v>
      </c>
      <c r="F253" s="21" t="s">
        <v>2485</v>
      </c>
      <c r="G253" s="21" t="s">
        <v>2486</v>
      </c>
      <c r="H253" s="21" t="s">
        <v>2487</v>
      </c>
      <c r="I253" s="21" t="s">
        <v>2488</v>
      </c>
      <c r="J253" s="62">
        <v>46238</v>
      </c>
      <c r="K253" s="62">
        <v>46238</v>
      </c>
      <c r="L253" s="62">
        <v>34860</v>
      </c>
      <c r="M253" s="21" t="s">
        <v>341</v>
      </c>
      <c r="N253" s="21" t="s">
        <v>204</v>
      </c>
      <c r="O253" s="63">
        <v>0</v>
      </c>
      <c r="P253" s="21" t="s">
        <v>876</v>
      </c>
      <c r="Q253" s="21" t="s">
        <v>2489</v>
      </c>
      <c r="R253" s="21" t="s">
        <v>2490</v>
      </c>
      <c r="S253" s="21" t="s">
        <v>396</v>
      </c>
      <c r="T253" s="21" t="s">
        <v>397</v>
      </c>
      <c r="U253" s="21" t="s">
        <v>398</v>
      </c>
      <c r="V253" s="21" t="s">
        <v>370</v>
      </c>
      <c r="W253" s="21" t="s">
        <v>2491</v>
      </c>
      <c r="X253" s="21" t="s">
        <v>328</v>
      </c>
      <c r="Z253">
        <v>0</v>
      </c>
      <c r="AA253">
        <v>0</v>
      </c>
    </row>
    <row r="254" spans="1:27" x14ac:dyDescent="0.25">
      <c r="A254" s="21" t="s">
        <v>444</v>
      </c>
      <c r="B254" s="21" t="s">
        <v>315</v>
      </c>
      <c r="C254" s="21" t="s">
        <v>315</v>
      </c>
      <c r="D254" s="21" t="s">
        <v>204</v>
      </c>
      <c r="E254" s="21" t="s">
        <v>204</v>
      </c>
      <c r="F254" s="21" t="s">
        <v>2456</v>
      </c>
      <c r="G254" s="21" t="s">
        <v>2457</v>
      </c>
      <c r="H254" s="21" t="s">
        <v>2458</v>
      </c>
      <c r="I254" s="21" t="s">
        <v>2459</v>
      </c>
      <c r="J254" s="62">
        <v>46209</v>
      </c>
      <c r="K254" s="62">
        <v>46209</v>
      </c>
      <c r="L254" s="62">
        <v>38191</v>
      </c>
      <c r="M254" s="21" t="s">
        <v>319</v>
      </c>
      <c r="N254" s="21" t="s">
        <v>204</v>
      </c>
      <c r="O254" s="63">
        <v>177.78</v>
      </c>
      <c r="P254" s="21" t="s">
        <v>448</v>
      </c>
      <c r="Q254" s="21" t="s">
        <v>2460</v>
      </c>
      <c r="R254" s="21" t="s">
        <v>2461</v>
      </c>
      <c r="S254" s="21" t="s">
        <v>690</v>
      </c>
      <c r="T254" s="21" t="s">
        <v>691</v>
      </c>
      <c r="U254" s="21" t="s">
        <v>2425</v>
      </c>
      <c r="V254" s="21" t="s">
        <v>326</v>
      </c>
      <c r="W254" s="21" t="s">
        <v>2462</v>
      </c>
      <c r="X254" s="21" t="s">
        <v>328</v>
      </c>
      <c r="Z254">
        <v>0</v>
      </c>
      <c r="AA254">
        <v>0</v>
      </c>
    </row>
    <row r="255" spans="1:27" x14ac:dyDescent="0.25">
      <c r="A255" s="21" t="s">
        <v>337</v>
      </c>
      <c r="B255" s="21" t="s">
        <v>315</v>
      </c>
      <c r="C255" s="21" t="s">
        <v>315</v>
      </c>
      <c r="D255" s="21" t="s">
        <v>240</v>
      </c>
      <c r="E255" s="21" t="s">
        <v>208</v>
      </c>
      <c r="F255" s="21" t="s">
        <v>1233</v>
      </c>
      <c r="G255" s="21" t="s">
        <v>1234</v>
      </c>
      <c r="H255" s="21" t="s">
        <v>339</v>
      </c>
      <c r="I255" s="21" t="s">
        <v>1235</v>
      </c>
      <c r="J255" s="62">
        <v>42443</v>
      </c>
      <c r="K255" s="62">
        <v>42443</v>
      </c>
      <c r="L255" s="62">
        <v>29650</v>
      </c>
      <c r="M255" s="21" t="s">
        <v>341</v>
      </c>
      <c r="N255" s="21" t="s">
        <v>240</v>
      </c>
      <c r="O255" s="63">
        <v>57200</v>
      </c>
      <c r="P255" s="21" t="s">
        <v>1236</v>
      </c>
      <c r="Q255" s="21" t="s">
        <v>596</v>
      </c>
      <c r="R255" s="21"/>
      <c r="S255" s="21" t="s">
        <v>1237</v>
      </c>
      <c r="T255" s="21" t="s">
        <v>1238</v>
      </c>
      <c r="U255" s="21" t="s">
        <v>1239</v>
      </c>
      <c r="V255" s="21" t="s">
        <v>370</v>
      </c>
      <c r="W255" s="21" t="s">
        <v>1240</v>
      </c>
      <c r="X255" s="21" t="s">
        <v>328</v>
      </c>
      <c r="Z255">
        <v>0</v>
      </c>
      <c r="AA255">
        <v>0</v>
      </c>
    </row>
    <row r="256" spans="1:27" x14ac:dyDescent="0.25">
      <c r="A256" s="21" t="s">
        <v>329</v>
      </c>
      <c r="B256" s="21" t="s">
        <v>315</v>
      </c>
      <c r="C256" s="21" t="s">
        <v>315</v>
      </c>
      <c r="D256" s="21" t="s">
        <v>240</v>
      </c>
      <c r="E256" s="21" t="s">
        <v>208</v>
      </c>
      <c r="F256" s="21" t="s">
        <v>1332</v>
      </c>
      <c r="G256" s="21" t="s">
        <v>1333</v>
      </c>
      <c r="H256" s="21" t="s">
        <v>488</v>
      </c>
      <c r="I256" s="21" t="s">
        <v>534</v>
      </c>
      <c r="J256" s="62">
        <v>45566</v>
      </c>
      <c r="K256" s="62">
        <v>45757</v>
      </c>
      <c r="L256" s="62">
        <v>28951</v>
      </c>
      <c r="M256" s="21" t="s">
        <v>319</v>
      </c>
      <c r="N256" s="21" t="s">
        <v>240</v>
      </c>
      <c r="O256" s="63">
        <v>93750</v>
      </c>
      <c r="P256" s="21" t="s">
        <v>708</v>
      </c>
      <c r="Q256" s="21" t="s">
        <v>531</v>
      </c>
      <c r="R256" s="21" t="s">
        <v>1334</v>
      </c>
      <c r="S256" s="21" t="s">
        <v>1335</v>
      </c>
      <c r="T256" s="21" t="s">
        <v>1336</v>
      </c>
      <c r="U256" s="21" t="s">
        <v>1337</v>
      </c>
      <c r="V256" s="21" t="s">
        <v>326</v>
      </c>
      <c r="W256" s="21" t="s">
        <v>1338</v>
      </c>
      <c r="X256" s="21" t="s">
        <v>375</v>
      </c>
      <c r="Z256">
        <v>0</v>
      </c>
      <c r="AA256">
        <v>0</v>
      </c>
    </row>
    <row r="257" spans="1:27" x14ac:dyDescent="0.25">
      <c r="A257" s="21" t="s">
        <v>337</v>
      </c>
      <c r="B257" s="21" t="s">
        <v>315</v>
      </c>
      <c r="C257" s="21" t="s">
        <v>315</v>
      </c>
      <c r="D257" s="21" t="s">
        <v>240</v>
      </c>
      <c r="E257" s="21" t="s">
        <v>208</v>
      </c>
      <c r="F257" s="21" t="s">
        <v>1504</v>
      </c>
      <c r="G257" s="21" t="s">
        <v>1505</v>
      </c>
      <c r="H257" s="21" t="s">
        <v>732</v>
      </c>
      <c r="I257" s="21" t="s">
        <v>1506</v>
      </c>
      <c r="J257" s="62">
        <v>44151</v>
      </c>
      <c r="K257" s="62">
        <v>44151</v>
      </c>
      <c r="L257" s="62">
        <v>34382</v>
      </c>
      <c r="M257" s="21" t="s">
        <v>319</v>
      </c>
      <c r="N257" s="21" t="s">
        <v>240</v>
      </c>
      <c r="O257" s="63">
        <v>55000</v>
      </c>
      <c r="P257" s="21" t="s">
        <v>489</v>
      </c>
      <c r="Q257" s="21" t="s">
        <v>317</v>
      </c>
      <c r="R257" s="21"/>
      <c r="S257" s="21" t="s">
        <v>1507</v>
      </c>
      <c r="T257" s="21" t="s">
        <v>1508</v>
      </c>
      <c r="U257" s="21" t="s">
        <v>1509</v>
      </c>
      <c r="V257" s="21" t="s">
        <v>326</v>
      </c>
      <c r="W257" s="21" t="s">
        <v>1510</v>
      </c>
      <c r="X257" s="21" t="s">
        <v>328</v>
      </c>
      <c r="Z257">
        <v>0</v>
      </c>
      <c r="AA257">
        <v>0</v>
      </c>
    </row>
    <row r="258" spans="1:27" x14ac:dyDescent="0.25">
      <c r="A258" s="21" t="s">
        <v>329</v>
      </c>
      <c r="B258" s="21" t="s">
        <v>315</v>
      </c>
      <c r="C258" s="21" t="s">
        <v>315</v>
      </c>
      <c r="D258" s="21" t="s">
        <v>240</v>
      </c>
      <c r="E258" s="21" t="s">
        <v>208</v>
      </c>
      <c r="F258" s="21" t="s">
        <v>1555</v>
      </c>
      <c r="G258" s="21" t="s">
        <v>1556</v>
      </c>
      <c r="H258" s="21" t="s">
        <v>464</v>
      </c>
      <c r="I258" s="21" t="s">
        <v>1557</v>
      </c>
      <c r="J258" s="62">
        <v>44602</v>
      </c>
      <c r="K258" s="62">
        <v>44602</v>
      </c>
      <c r="L258" s="62">
        <v>28808</v>
      </c>
      <c r="M258" s="21" t="s">
        <v>319</v>
      </c>
      <c r="N258" s="21" t="s">
        <v>240</v>
      </c>
      <c r="O258" s="63">
        <v>93750</v>
      </c>
      <c r="P258" s="21" t="s">
        <v>1558</v>
      </c>
      <c r="Q258" s="21" t="s">
        <v>927</v>
      </c>
      <c r="R258" s="21" t="s">
        <v>2335</v>
      </c>
      <c r="S258" s="21" t="s">
        <v>1283</v>
      </c>
      <c r="T258" s="21" t="s">
        <v>1284</v>
      </c>
      <c r="U258" s="21" t="s">
        <v>1174</v>
      </c>
      <c r="V258" s="21" t="s">
        <v>326</v>
      </c>
      <c r="W258" s="21" t="s">
        <v>1559</v>
      </c>
      <c r="X258" s="21" t="s">
        <v>328</v>
      </c>
      <c r="Z258">
        <v>0</v>
      </c>
      <c r="AA258">
        <v>0</v>
      </c>
    </row>
    <row r="259" spans="1:27" x14ac:dyDescent="0.25">
      <c r="A259" s="21" t="s">
        <v>337</v>
      </c>
      <c r="B259" s="21" t="s">
        <v>315</v>
      </c>
      <c r="C259" s="21" t="s">
        <v>315</v>
      </c>
      <c r="D259" s="21" t="s">
        <v>240</v>
      </c>
      <c r="E259" s="21" t="s">
        <v>208</v>
      </c>
      <c r="F259" s="21" t="s">
        <v>2084</v>
      </c>
      <c r="G259" s="21" t="s">
        <v>2085</v>
      </c>
      <c r="H259" s="21" t="s">
        <v>2086</v>
      </c>
      <c r="I259" s="21" t="s">
        <v>2087</v>
      </c>
      <c r="J259" s="62">
        <v>45474</v>
      </c>
      <c r="K259" s="62">
        <v>45474</v>
      </c>
      <c r="L259" s="62">
        <v>33993</v>
      </c>
      <c r="M259" s="21" t="s">
        <v>341</v>
      </c>
      <c r="N259" s="21" t="s">
        <v>240</v>
      </c>
      <c r="O259" s="63">
        <v>53625</v>
      </c>
      <c r="P259" s="21" t="s">
        <v>478</v>
      </c>
      <c r="Q259" s="21" t="s">
        <v>1544</v>
      </c>
      <c r="R259" s="21" t="s">
        <v>2088</v>
      </c>
      <c r="S259" s="21" t="s">
        <v>1237</v>
      </c>
      <c r="T259" s="21" t="s">
        <v>1238</v>
      </c>
      <c r="U259" s="21" t="s">
        <v>1239</v>
      </c>
      <c r="V259" s="21" t="s">
        <v>326</v>
      </c>
      <c r="W259" s="21" t="s">
        <v>2089</v>
      </c>
      <c r="X259" s="21" t="s">
        <v>328</v>
      </c>
      <c r="Z259">
        <v>0</v>
      </c>
      <c r="AA259">
        <v>0</v>
      </c>
    </row>
    <row r="260" spans="1:27" x14ac:dyDescent="0.25">
      <c r="A260" s="21" t="s">
        <v>329</v>
      </c>
      <c r="B260" s="21" t="s">
        <v>315</v>
      </c>
      <c r="C260" s="21" t="s">
        <v>315</v>
      </c>
      <c r="D260" s="21" t="s">
        <v>240</v>
      </c>
      <c r="E260" s="21" t="s">
        <v>208</v>
      </c>
      <c r="F260" s="21" t="s">
        <v>2094</v>
      </c>
      <c r="G260" s="21" t="s">
        <v>2095</v>
      </c>
      <c r="H260" s="21" t="s">
        <v>2096</v>
      </c>
      <c r="I260" s="21" t="s">
        <v>2097</v>
      </c>
      <c r="J260" s="62">
        <v>45726</v>
      </c>
      <c r="K260" s="62">
        <v>45726</v>
      </c>
      <c r="L260" s="62">
        <v>33455</v>
      </c>
      <c r="M260" s="21" t="s">
        <v>341</v>
      </c>
      <c r="N260" s="21" t="s">
        <v>240</v>
      </c>
      <c r="O260" s="63">
        <v>50000</v>
      </c>
      <c r="P260" s="21" t="s">
        <v>478</v>
      </c>
      <c r="Q260" s="21" t="s">
        <v>675</v>
      </c>
      <c r="R260" s="21" t="s">
        <v>2098</v>
      </c>
      <c r="S260" s="21" t="s">
        <v>1237</v>
      </c>
      <c r="T260" s="21" t="s">
        <v>1238</v>
      </c>
      <c r="U260" s="21" t="s">
        <v>2099</v>
      </c>
      <c r="V260" s="21" t="s">
        <v>370</v>
      </c>
      <c r="W260" s="21" t="s">
        <v>2100</v>
      </c>
      <c r="X260" s="21" t="s">
        <v>328</v>
      </c>
      <c r="Z260">
        <v>0</v>
      </c>
      <c r="AA260">
        <v>0</v>
      </c>
    </row>
    <row r="261" spans="1:27" x14ac:dyDescent="0.25">
      <c r="A261" s="21" t="s">
        <v>329</v>
      </c>
      <c r="B261" s="21" t="s">
        <v>315</v>
      </c>
      <c r="C261" s="21" t="s">
        <v>315</v>
      </c>
      <c r="D261" s="21" t="s">
        <v>240</v>
      </c>
      <c r="E261" s="21" t="s">
        <v>200</v>
      </c>
      <c r="F261" s="21" t="s">
        <v>1323</v>
      </c>
      <c r="G261" s="21" t="s">
        <v>831</v>
      </c>
      <c r="H261" s="21" t="s">
        <v>832</v>
      </c>
      <c r="I261" s="21" t="s">
        <v>833</v>
      </c>
      <c r="J261" s="62">
        <v>45349</v>
      </c>
      <c r="K261" s="62">
        <v>45349</v>
      </c>
      <c r="L261" s="62">
        <v>36420</v>
      </c>
      <c r="M261" s="21" t="s">
        <v>341</v>
      </c>
      <c r="N261" s="21" t="s">
        <v>240</v>
      </c>
      <c r="O261" s="63">
        <v>54000</v>
      </c>
      <c r="P261" s="21" t="s">
        <v>834</v>
      </c>
      <c r="Q261" s="21" t="s">
        <v>464</v>
      </c>
      <c r="R261" s="21" t="s">
        <v>835</v>
      </c>
      <c r="S261" s="21" t="s">
        <v>836</v>
      </c>
      <c r="T261" s="21" t="s">
        <v>837</v>
      </c>
      <c r="U261" s="21" t="s">
        <v>838</v>
      </c>
      <c r="V261" s="21" t="s">
        <v>666</v>
      </c>
      <c r="W261" s="21" t="s">
        <v>839</v>
      </c>
      <c r="X261" s="21" t="s">
        <v>328</v>
      </c>
      <c r="Z261">
        <v>0</v>
      </c>
      <c r="AA261">
        <v>0</v>
      </c>
    </row>
    <row r="262" spans="1:27" x14ac:dyDescent="0.25">
      <c r="A262" s="21" t="s">
        <v>329</v>
      </c>
      <c r="B262" s="21" t="s">
        <v>315</v>
      </c>
      <c r="C262" s="21" t="s">
        <v>315</v>
      </c>
      <c r="D262" s="21" t="s">
        <v>240</v>
      </c>
      <c r="E262" s="21" t="s">
        <v>200</v>
      </c>
      <c r="F262" s="21" t="s">
        <v>1621</v>
      </c>
      <c r="G262" s="21" t="s">
        <v>930</v>
      </c>
      <c r="H262" s="21" t="s">
        <v>931</v>
      </c>
      <c r="I262" s="21" t="s">
        <v>897</v>
      </c>
      <c r="J262" s="62">
        <v>41030</v>
      </c>
      <c r="K262" s="62">
        <v>41030</v>
      </c>
      <c r="L262" s="62">
        <v>22651</v>
      </c>
      <c r="M262" s="21" t="s">
        <v>319</v>
      </c>
      <c r="N262" s="21" t="s">
        <v>240</v>
      </c>
      <c r="O262" s="63">
        <v>31000</v>
      </c>
      <c r="P262" s="21" t="s">
        <v>932</v>
      </c>
      <c r="Q262" s="21" t="s">
        <v>933</v>
      </c>
      <c r="R262" s="21"/>
      <c r="S262" s="21" t="s">
        <v>934</v>
      </c>
      <c r="T262" s="21" t="s">
        <v>935</v>
      </c>
      <c r="U262" s="21" t="s">
        <v>936</v>
      </c>
      <c r="V262" s="21" t="s">
        <v>666</v>
      </c>
      <c r="W262" s="21" t="s">
        <v>937</v>
      </c>
      <c r="X262" s="21" t="s">
        <v>375</v>
      </c>
      <c r="Z262">
        <v>7</v>
      </c>
      <c r="AA262">
        <v>7</v>
      </c>
    </row>
    <row r="263" spans="1:27" x14ac:dyDescent="0.25">
      <c r="A263" s="21" t="s">
        <v>337</v>
      </c>
      <c r="B263" s="21" t="s">
        <v>315</v>
      </c>
      <c r="C263" s="21" t="s">
        <v>315</v>
      </c>
      <c r="D263" s="21" t="s">
        <v>240</v>
      </c>
      <c r="E263" s="21" t="s">
        <v>206</v>
      </c>
      <c r="F263" s="21" t="s">
        <v>167</v>
      </c>
      <c r="G263" s="21" t="s">
        <v>1424</v>
      </c>
      <c r="H263" s="21" t="s">
        <v>1425</v>
      </c>
      <c r="I263" s="21" t="s">
        <v>1426</v>
      </c>
      <c r="J263" s="62">
        <v>41363</v>
      </c>
      <c r="K263" s="62">
        <v>41363</v>
      </c>
      <c r="L263" s="62">
        <v>31166</v>
      </c>
      <c r="M263" s="21" t="s">
        <v>319</v>
      </c>
      <c r="N263" s="21" t="s">
        <v>240</v>
      </c>
      <c r="O263" s="63">
        <v>77500</v>
      </c>
      <c r="P263" s="21" t="s">
        <v>674</v>
      </c>
      <c r="Q263" s="21" t="s">
        <v>1079</v>
      </c>
      <c r="R263" s="21"/>
      <c r="S263" s="21" t="s">
        <v>1229</v>
      </c>
      <c r="T263" s="21" t="s">
        <v>1230</v>
      </c>
      <c r="U263" s="21" t="s">
        <v>1174</v>
      </c>
      <c r="V263" s="21" t="s">
        <v>666</v>
      </c>
      <c r="W263" s="21" t="s">
        <v>1427</v>
      </c>
      <c r="X263" s="21" t="s">
        <v>328</v>
      </c>
      <c r="Z263">
        <v>0</v>
      </c>
      <c r="AA263">
        <v>0</v>
      </c>
    </row>
    <row r="264" spans="1:27" x14ac:dyDescent="0.25">
      <c r="A264" s="21" t="s">
        <v>444</v>
      </c>
      <c r="B264" s="21" t="s">
        <v>315</v>
      </c>
      <c r="C264" s="21" t="s">
        <v>315</v>
      </c>
      <c r="D264" s="21" t="s">
        <v>240</v>
      </c>
      <c r="E264" s="21" t="s">
        <v>202</v>
      </c>
      <c r="F264" s="21" t="s">
        <v>1383</v>
      </c>
      <c r="G264" s="21" t="s">
        <v>1384</v>
      </c>
      <c r="H264" s="21" t="s">
        <v>728</v>
      </c>
      <c r="I264" s="21" t="s">
        <v>2394</v>
      </c>
      <c r="J264" s="62">
        <v>44452</v>
      </c>
      <c r="K264" s="62">
        <v>44452</v>
      </c>
      <c r="L264" s="62">
        <v>36465</v>
      </c>
      <c r="M264" s="21" t="s">
        <v>341</v>
      </c>
      <c r="N264" s="21" t="s">
        <v>240</v>
      </c>
      <c r="O264" s="63">
        <v>60000</v>
      </c>
      <c r="P264" s="21" t="s">
        <v>434</v>
      </c>
      <c r="Q264" s="21" t="s">
        <v>1385</v>
      </c>
      <c r="R264" s="21" t="s">
        <v>1386</v>
      </c>
      <c r="S264" s="21" t="s">
        <v>1387</v>
      </c>
      <c r="T264" s="21" t="s">
        <v>1388</v>
      </c>
      <c r="U264" s="21" t="s">
        <v>1389</v>
      </c>
      <c r="V264" s="21" t="s">
        <v>326</v>
      </c>
      <c r="W264" s="21" t="s">
        <v>1390</v>
      </c>
      <c r="X264" s="21" t="s">
        <v>328</v>
      </c>
      <c r="Z264">
        <v>0</v>
      </c>
      <c r="AA264">
        <v>0</v>
      </c>
    </row>
    <row r="265" spans="1:27" x14ac:dyDescent="0.25">
      <c r="A265" s="21" t="s">
        <v>510</v>
      </c>
      <c r="B265" s="21" t="s">
        <v>315</v>
      </c>
      <c r="C265" s="21" t="s">
        <v>315</v>
      </c>
      <c r="D265" s="21" t="s">
        <v>240</v>
      </c>
      <c r="E265" s="21" t="s">
        <v>202</v>
      </c>
      <c r="F265" s="21" t="s">
        <v>1988</v>
      </c>
      <c r="G265" s="21" t="s">
        <v>698</v>
      </c>
      <c r="H265" s="21" t="s">
        <v>742</v>
      </c>
      <c r="I265" s="21" t="s">
        <v>743</v>
      </c>
      <c r="J265" s="62">
        <v>43497</v>
      </c>
      <c r="K265" s="62">
        <v>43497</v>
      </c>
      <c r="L265" s="62">
        <v>31116</v>
      </c>
      <c r="M265" s="21" t="s">
        <v>319</v>
      </c>
      <c r="N265" s="21" t="s">
        <v>240</v>
      </c>
      <c r="O265" s="63">
        <v>85000</v>
      </c>
      <c r="P265" s="21" t="s">
        <v>1043</v>
      </c>
      <c r="Q265" s="21" t="s">
        <v>699</v>
      </c>
      <c r="R265" s="21"/>
      <c r="S265" s="21" t="s">
        <v>700</v>
      </c>
      <c r="T265" s="21" t="s">
        <v>701</v>
      </c>
      <c r="U265" s="21" t="s">
        <v>1044</v>
      </c>
      <c r="V265" s="21" t="s">
        <v>666</v>
      </c>
      <c r="W265" s="21" t="s">
        <v>1989</v>
      </c>
      <c r="X265" s="21" t="s">
        <v>328</v>
      </c>
      <c r="Z265">
        <v>0</v>
      </c>
      <c r="AA265">
        <v>0</v>
      </c>
    </row>
    <row r="266" spans="1:27" x14ac:dyDescent="0.25">
      <c r="A266" s="21" t="s">
        <v>329</v>
      </c>
      <c r="B266" s="21" t="s">
        <v>315</v>
      </c>
      <c r="C266" s="21" t="s">
        <v>315</v>
      </c>
      <c r="D266" s="21" t="s">
        <v>240</v>
      </c>
      <c r="E266" s="21" t="s">
        <v>202</v>
      </c>
      <c r="F266" s="21" t="s">
        <v>2184</v>
      </c>
      <c r="G266" s="21" t="s">
        <v>1108</v>
      </c>
      <c r="H266" s="21" t="s">
        <v>1109</v>
      </c>
      <c r="I266" s="21" t="s">
        <v>2417</v>
      </c>
      <c r="J266" s="62">
        <v>45204</v>
      </c>
      <c r="K266" s="62">
        <v>45204</v>
      </c>
      <c r="L266" s="62">
        <v>35772</v>
      </c>
      <c r="M266" s="21" t="s">
        <v>341</v>
      </c>
      <c r="N266" s="21" t="s">
        <v>240</v>
      </c>
      <c r="O266" s="63">
        <v>62500</v>
      </c>
      <c r="P266" s="21" t="s">
        <v>834</v>
      </c>
      <c r="Q266" s="21" t="s">
        <v>671</v>
      </c>
      <c r="R266" s="21" t="s">
        <v>1110</v>
      </c>
      <c r="S266" s="21" t="s">
        <v>1111</v>
      </c>
      <c r="T266" s="21" t="s">
        <v>1112</v>
      </c>
      <c r="U266" s="21" t="s">
        <v>1113</v>
      </c>
      <c r="V266" s="21" t="s">
        <v>666</v>
      </c>
      <c r="W266" s="21" t="s">
        <v>1114</v>
      </c>
      <c r="X266" s="21" t="s">
        <v>328</v>
      </c>
      <c r="Z266">
        <v>0</v>
      </c>
      <c r="AA266">
        <v>0</v>
      </c>
    </row>
    <row r="267" spans="1:27" x14ac:dyDescent="0.25">
      <c r="A267" s="21" t="s">
        <v>713</v>
      </c>
      <c r="B267" s="21" t="s">
        <v>315</v>
      </c>
      <c r="C267" s="21" t="s">
        <v>315</v>
      </c>
      <c r="D267" s="21" t="s">
        <v>224</v>
      </c>
      <c r="E267" s="21" t="s">
        <v>224</v>
      </c>
      <c r="F267" s="21" t="s">
        <v>1263</v>
      </c>
      <c r="G267" s="21" t="s">
        <v>1264</v>
      </c>
      <c r="H267" s="21" t="s">
        <v>725</v>
      </c>
      <c r="I267" s="21" t="s">
        <v>737</v>
      </c>
      <c r="J267" s="62">
        <v>44841</v>
      </c>
      <c r="K267" s="62">
        <v>44841</v>
      </c>
      <c r="L267" s="62">
        <v>32724</v>
      </c>
      <c r="M267" s="21" t="s">
        <v>319</v>
      </c>
      <c r="N267" s="21" t="s">
        <v>224</v>
      </c>
      <c r="O267" s="63">
        <v>183.46</v>
      </c>
      <c r="P267" s="21" t="s">
        <v>478</v>
      </c>
      <c r="Q267" s="21" t="s">
        <v>670</v>
      </c>
      <c r="R267" s="21" t="s">
        <v>1265</v>
      </c>
      <c r="S267" s="21" t="s">
        <v>1266</v>
      </c>
      <c r="T267" s="21" t="s">
        <v>1267</v>
      </c>
      <c r="U267" s="21" t="s">
        <v>224</v>
      </c>
      <c r="V267" s="21" t="s">
        <v>326</v>
      </c>
      <c r="W267" s="21" t="s">
        <v>1268</v>
      </c>
      <c r="X267" s="21" t="s">
        <v>328</v>
      </c>
      <c r="Z267">
        <v>0</v>
      </c>
      <c r="AA267">
        <v>0</v>
      </c>
    </row>
    <row r="268" spans="1:27" x14ac:dyDescent="0.25">
      <c r="A268" s="21" t="s">
        <v>364</v>
      </c>
      <c r="B268" s="21" t="s">
        <v>315</v>
      </c>
      <c r="C268" s="21" t="s">
        <v>315</v>
      </c>
      <c r="D268" s="21" t="s">
        <v>224</v>
      </c>
      <c r="E268" s="21" t="s">
        <v>224</v>
      </c>
      <c r="F268" s="21" t="s">
        <v>1515</v>
      </c>
      <c r="G268" s="21" t="s">
        <v>1516</v>
      </c>
      <c r="H268" s="21" t="s">
        <v>732</v>
      </c>
      <c r="I268" s="21" t="s">
        <v>1517</v>
      </c>
      <c r="J268" s="62">
        <v>45701</v>
      </c>
      <c r="K268" s="62">
        <v>45701</v>
      </c>
      <c r="L268" s="62">
        <v>29992</v>
      </c>
      <c r="M268" s="21" t="s">
        <v>319</v>
      </c>
      <c r="N268" s="21" t="s">
        <v>224</v>
      </c>
      <c r="O268" s="63">
        <v>234.82</v>
      </c>
      <c r="P268" s="21" t="s">
        <v>620</v>
      </c>
      <c r="Q268" s="21" t="s">
        <v>553</v>
      </c>
      <c r="R268" s="21" t="s">
        <v>1518</v>
      </c>
      <c r="S268" s="21" t="s">
        <v>1519</v>
      </c>
      <c r="T268" s="21" t="s">
        <v>1520</v>
      </c>
      <c r="U268" s="21" t="s">
        <v>1521</v>
      </c>
      <c r="V268" s="21" t="s">
        <v>355</v>
      </c>
      <c r="W268" s="21" t="s">
        <v>1522</v>
      </c>
      <c r="X268" s="21" t="s">
        <v>375</v>
      </c>
      <c r="Z268">
        <v>0</v>
      </c>
      <c r="AA268">
        <v>0</v>
      </c>
    </row>
    <row r="269" spans="1:27" x14ac:dyDescent="0.25">
      <c r="A269" s="21" t="s">
        <v>713</v>
      </c>
      <c r="B269" s="21" t="s">
        <v>315</v>
      </c>
      <c r="C269" s="21" t="s">
        <v>315</v>
      </c>
      <c r="D269" s="21" t="s">
        <v>224</v>
      </c>
      <c r="E269" s="21" t="s">
        <v>224</v>
      </c>
      <c r="F269" s="21" t="s">
        <v>2041</v>
      </c>
      <c r="G269" s="21" t="s">
        <v>2042</v>
      </c>
      <c r="H269" s="21" t="s">
        <v>343</v>
      </c>
      <c r="I269" s="21" t="s">
        <v>2043</v>
      </c>
      <c r="J269" s="62">
        <v>45341</v>
      </c>
      <c r="K269" s="62">
        <v>45341</v>
      </c>
      <c r="L269" s="62">
        <v>33747</v>
      </c>
      <c r="M269" s="21" t="s">
        <v>319</v>
      </c>
      <c r="N269" s="21" t="s">
        <v>224</v>
      </c>
      <c r="O269" s="63">
        <v>183.46</v>
      </c>
      <c r="P269" s="21" t="s">
        <v>689</v>
      </c>
      <c r="Q269" s="21" t="s">
        <v>2044</v>
      </c>
      <c r="R269" s="21" t="s">
        <v>2045</v>
      </c>
      <c r="S269" s="21" t="s">
        <v>1266</v>
      </c>
      <c r="T269" s="21" t="s">
        <v>1267</v>
      </c>
      <c r="U269" s="21" t="s">
        <v>224</v>
      </c>
      <c r="V269" s="21" t="s">
        <v>370</v>
      </c>
      <c r="W269" s="21" t="s">
        <v>2046</v>
      </c>
      <c r="X269" s="21" t="s">
        <v>328</v>
      </c>
      <c r="Z269">
        <v>0</v>
      </c>
      <c r="AA269">
        <v>0</v>
      </c>
    </row>
    <row r="270" spans="1:27" x14ac:dyDescent="0.25">
      <c r="A270" s="21" t="s">
        <v>314</v>
      </c>
      <c r="B270" s="21" t="s">
        <v>315</v>
      </c>
      <c r="C270" s="21" t="s">
        <v>315</v>
      </c>
      <c r="D270" s="21" t="s">
        <v>224</v>
      </c>
      <c r="E270" s="21" t="s">
        <v>224</v>
      </c>
      <c r="F270" s="21" t="s">
        <v>2172</v>
      </c>
      <c r="G270" s="21" t="s">
        <v>2173</v>
      </c>
      <c r="H270" s="21" t="s">
        <v>746</v>
      </c>
      <c r="I270" s="21" t="s">
        <v>731</v>
      </c>
      <c r="J270" s="62">
        <v>45002</v>
      </c>
      <c r="K270" s="62">
        <v>45002</v>
      </c>
      <c r="L270" s="62">
        <v>28554</v>
      </c>
      <c r="M270" s="21" t="s">
        <v>319</v>
      </c>
      <c r="N270" s="21" t="s">
        <v>224</v>
      </c>
      <c r="O270" s="63">
        <v>52070</v>
      </c>
      <c r="P270" s="21" t="s">
        <v>697</v>
      </c>
      <c r="Q270" s="21" t="s">
        <v>321</v>
      </c>
      <c r="R270" s="21" t="s">
        <v>2174</v>
      </c>
      <c r="S270" s="21" t="s">
        <v>1266</v>
      </c>
      <c r="T270" s="21" t="s">
        <v>1267</v>
      </c>
      <c r="U270" s="21" t="s">
        <v>224</v>
      </c>
      <c r="V270" s="21" t="s">
        <v>370</v>
      </c>
      <c r="W270" s="21" t="s">
        <v>2175</v>
      </c>
      <c r="X270" s="21" t="s">
        <v>375</v>
      </c>
      <c r="Z270">
        <v>0</v>
      </c>
      <c r="AA270">
        <v>0</v>
      </c>
    </row>
    <row r="271" spans="1:27" x14ac:dyDescent="0.25">
      <c r="A271" s="21" t="s">
        <v>329</v>
      </c>
      <c r="B271" s="21" t="s">
        <v>315</v>
      </c>
      <c r="C271" s="21" t="s">
        <v>315</v>
      </c>
      <c r="D271" s="21" t="s">
        <v>240</v>
      </c>
      <c r="E271" s="21" t="s">
        <v>1645</v>
      </c>
      <c r="F271" s="21" t="s">
        <v>1646</v>
      </c>
      <c r="G271" s="21" t="s">
        <v>1647</v>
      </c>
      <c r="H271" s="21" t="s">
        <v>1648</v>
      </c>
      <c r="I271" s="21" t="s">
        <v>1649</v>
      </c>
      <c r="J271" s="62">
        <v>45719</v>
      </c>
      <c r="K271" s="62">
        <v>45719</v>
      </c>
      <c r="L271" s="62">
        <v>28756</v>
      </c>
      <c r="M271" s="21" t="s">
        <v>341</v>
      </c>
      <c r="N271" s="21" t="s">
        <v>240</v>
      </c>
      <c r="O271" s="63">
        <v>65000</v>
      </c>
      <c r="P271" s="21" t="s">
        <v>740</v>
      </c>
      <c r="Q271" s="21" t="s">
        <v>1650</v>
      </c>
      <c r="R271" s="21" t="s">
        <v>1651</v>
      </c>
      <c r="S271" s="21" t="s">
        <v>1652</v>
      </c>
      <c r="T271" s="21" t="s">
        <v>1653</v>
      </c>
      <c r="U271" s="21" t="s">
        <v>1654</v>
      </c>
      <c r="V271" s="21" t="s">
        <v>326</v>
      </c>
      <c r="W271" s="21" t="s">
        <v>1655</v>
      </c>
      <c r="X271" s="21" t="s">
        <v>328</v>
      </c>
      <c r="Z271">
        <v>0</v>
      </c>
      <c r="AA271">
        <v>0</v>
      </c>
    </row>
    <row r="272" spans="1:27" x14ac:dyDescent="0.25">
      <c r="A272" s="21" t="s">
        <v>314</v>
      </c>
      <c r="B272" s="21" t="s">
        <v>315</v>
      </c>
      <c r="C272" s="21" t="s">
        <v>315</v>
      </c>
      <c r="D272" s="21" t="s">
        <v>240</v>
      </c>
      <c r="E272" s="21" t="s">
        <v>1645</v>
      </c>
      <c r="F272" s="21" t="s">
        <v>2191</v>
      </c>
      <c r="G272" s="21" t="s">
        <v>2192</v>
      </c>
      <c r="H272" s="21" t="s">
        <v>2193</v>
      </c>
      <c r="I272" s="21" t="s">
        <v>2194</v>
      </c>
      <c r="J272" s="62">
        <v>45735</v>
      </c>
      <c r="K272" s="62">
        <v>45735</v>
      </c>
      <c r="L272" s="62">
        <v>37208</v>
      </c>
      <c r="M272" s="21" t="s">
        <v>341</v>
      </c>
      <c r="N272" s="21" t="s">
        <v>240</v>
      </c>
      <c r="O272" s="63">
        <v>31750</v>
      </c>
      <c r="P272" s="21" t="s">
        <v>834</v>
      </c>
      <c r="Q272" s="21" t="s">
        <v>725</v>
      </c>
      <c r="R272" s="21" t="s">
        <v>2195</v>
      </c>
      <c r="S272" s="21" t="s">
        <v>1652</v>
      </c>
      <c r="T272" s="21" t="s">
        <v>1653</v>
      </c>
      <c r="U272" s="21" t="s">
        <v>2196</v>
      </c>
      <c r="V272" s="21" t="s">
        <v>666</v>
      </c>
      <c r="W272" s="21" t="s">
        <v>2197</v>
      </c>
      <c r="X272" s="21" t="s">
        <v>328</v>
      </c>
      <c r="Z272">
        <v>0</v>
      </c>
      <c r="AA272">
        <v>0</v>
      </c>
    </row>
    <row r="273" spans="1:27" x14ac:dyDescent="0.25">
      <c r="A273" s="21" t="s">
        <v>329</v>
      </c>
      <c r="B273" s="21" t="s">
        <v>315</v>
      </c>
      <c r="C273" s="21" t="s">
        <v>315</v>
      </c>
      <c r="D273" s="21" t="s">
        <v>222</v>
      </c>
      <c r="E273" s="21" t="s">
        <v>222</v>
      </c>
      <c r="F273" s="21" t="s">
        <v>1712</v>
      </c>
      <c r="G273" s="21" t="s">
        <v>1713</v>
      </c>
      <c r="H273" s="21" t="s">
        <v>1714</v>
      </c>
      <c r="I273" s="21" t="s">
        <v>1715</v>
      </c>
      <c r="J273" s="62">
        <v>45203</v>
      </c>
      <c r="K273" s="62">
        <v>45203</v>
      </c>
      <c r="L273" s="62">
        <v>28643</v>
      </c>
      <c r="M273" s="21" t="s">
        <v>341</v>
      </c>
      <c r="N273" s="21" t="s">
        <v>222</v>
      </c>
      <c r="O273" s="63">
        <v>146.76</v>
      </c>
      <c r="P273" s="21" t="s">
        <v>674</v>
      </c>
      <c r="Q273" s="21" t="s">
        <v>1716</v>
      </c>
      <c r="R273" s="21" t="s">
        <v>1717</v>
      </c>
      <c r="S273" s="21" t="s">
        <v>498</v>
      </c>
      <c r="T273" s="21" t="s">
        <v>499</v>
      </c>
      <c r="U273" s="21" t="s">
        <v>500</v>
      </c>
      <c r="V273" s="21" t="s">
        <v>450</v>
      </c>
      <c r="W273" s="21" t="s">
        <v>1718</v>
      </c>
      <c r="X273" s="21" t="s">
        <v>328</v>
      </c>
      <c r="Z273">
        <v>0</v>
      </c>
      <c r="AA273">
        <v>0</v>
      </c>
    </row>
    <row r="274" spans="1:27" x14ac:dyDescent="0.25">
      <c r="A274" s="21" t="s">
        <v>314</v>
      </c>
      <c r="B274" s="21" t="s">
        <v>315</v>
      </c>
      <c r="C274" s="21" t="s">
        <v>315</v>
      </c>
      <c r="D274" s="21" t="s">
        <v>222</v>
      </c>
      <c r="E274" s="21" t="s">
        <v>222</v>
      </c>
      <c r="F274" s="21" t="s">
        <v>2475</v>
      </c>
      <c r="G274" s="21" t="s">
        <v>2476</v>
      </c>
      <c r="H274" s="21" t="s">
        <v>686</v>
      </c>
      <c r="I274" s="21" t="s">
        <v>513</v>
      </c>
      <c r="J274" s="62">
        <v>46230</v>
      </c>
      <c r="K274" s="62">
        <v>46230</v>
      </c>
      <c r="L274" s="62">
        <v>26473</v>
      </c>
      <c r="M274" s="21" t="s">
        <v>319</v>
      </c>
      <c r="N274" s="21" t="s">
        <v>222</v>
      </c>
      <c r="O274" s="63">
        <v>149.72999999999999</v>
      </c>
      <c r="P274" s="21" t="s">
        <v>2477</v>
      </c>
      <c r="Q274" s="21" t="s">
        <v>353</v>
      </c>
      <c r="R274" s="21" t="s">
        <v>2478</v>
      </c>
      <c r="S274" s="21" t="s">
        <v>498</v>
      </c>
      <c r="T274" s="21" t="s">
        <v>499</v>
      </c>
      <c r="U274" s="21" t="s">
        <v>500</v>
      </c>
      <c r="V274" s="21" t="s">
        <v>355</v>
      </c>
      <c r="W274" s="21" t="s">
        <v>2479</v>
      </c>
      <c r="X274" s="21" t="s">
        <v>375</v>
      </c>
      <c r="Z274">
        <v>0</v>
      </c>
      <c r="AA274">
        <v>0</v>
      </c>
    </row>
    <row r="275" spans="1:27" x14ac:dyDescent="0.25">
      <c r="A275" s="21" t="s">
        <v>314</v>
      </c>
      <c r="B275" s="21" t="s">
        <v>315</v>
      </c>
      <c r="C275" s="21" t="s">
        <v>315</v>
      </c>
      <c r="D275" s="21" t="s">
        <v>222</v>
      </c>
      <c r="E275" s="21" t="s">
        <v>222</v>
      </c>
      <c r="F275" s="21" t="s">
        <v>2185</v>
      </c>
      <c r="G275" s="21" t="s">
        <v>2186</v>
      </c>
      <c r="H275" s="21" t="s">
        <v>2187</v>
      </c>
      <c r="I275" s="21" t="s">
        <v>737</v>
      </c>
      <c r="J275" s="62">
        <v>44792</v>
      </c>
      <c r="K275" s="62">
        <v>44792</v>
      </c>
      <c r="L275" s="62">
        <v>33080</v>
      </c>
      <c r="M275" s="21" t="s">
        <v>319</v>
      </c>
      <c r="N275" s="21" t="s">
        <v>222</v>
      </c>
      <c r="O275" s="63">
        <v>142.07</v>
      </c>
      <c r="P275" s="21" t="s">
        <v>478</v>
      </c>
      <c r="Q275" s="21" t="s">
        <v>2188</v>
      </c>
      <c r="R275" s="21" t="s">
        <v>2189</v>
      </c>
      <c r="S275" s="21" t="s">
        <v>498</v>
      </c>
      <c r="T275" s="21" t="s">
        <v>499</v>
      </c>
      <c r="U275" s="21" t="s">
        <v>500</v>
      </c>
      <c r="V275" s="21" t="s">
        <v>326</v>
      </c>
      <c r="W275" s="21" t="s">
        <v>2190</v>
      </c>
      <c r="X275" s="21" t="s">
        <v>328</v>
      </c>
      <c r="Z275">
        <v>0</v>
      </c>
      <c r="AA275">
        <v>0</v>
      </c>
    </row>
    <row r="276" spans="1:27" x14ac:dyDescent="0.25">
      <c r="A276" s="21" t="s">
        <v>502</v>
      </c>
      <c r="B276" s="21" t="s">
        <v>315</v>
      </c>
      <c r="C276" s="21" t="s">
        <v>315</v>
      </c>
      <c r="D276" s="21" t="s">
        <v>199</v>
      </c>
      <c r="E276" s="21" t="s">
        <v>1677</v>
      </c>
      <c r="F276" s="21" t="s">
        <v>1678</v>
      </c>
      <c r="G276" s="21" t="s">
        <v>1679</v>
      </c>
      <c r="H276" s="21" t="s">
        <v>670</v>
      </c>
      <c r="I276" s="21" t="s">
        <v>1680</v>
      </c>
      <c r="J276" s="62">
        <v>43770</v>
      </c>
      <c r="K276" s="62">
        <v>43770</v>
      </c>
      <c r="L276" s="62">
        <v>29650</v>
      </c>
      <c r="M276" s="21" t="s">
        <v>319</v>
      </c>
      <c r="N276" s="21" t="s">
        <v>199</v>
      </c>
      <c r="O276" s="63">
        <v>226.01</v>
      </c>
      <c r="P276" s="21" t="s">
        <v>1681</v>
      </c>
      <c r="Q276" s="21" t="s">
        <v>568</v>
      </c>
      <c r="R276" s="21"/>
      <c r="S276" s="21" t="s">
        <v>323</v>
      </c>
      <c r="T276" s="21" t="s">
        <v>324</v>
      </c>
      <c r="U276" s="21" t="s">
        <v>325</v>
      </c>
      <c r="V276" s="21" t="s">
        <v>355</v>
      </c>
      <c r="W276" s="21" t="s">
        <v>1682</v>
      </c>
      <c r="X276" s="21" t="s">
        <v>328</v>
      </c>
      <c r="Z276">
        <v>0</v>
      </c>
      <c r="AA276">
        <v>0</v>
      </c>
    </row>
    <row r="277" spans="1:27" x14ac:dyDescent="0.25">
      <c r="A277" s="21" t="s">
        <v>364</v>
      </c>
      <c r="B277" s="21" t="s">
        <v>315</v>
      </c>
      <c r="C277" s="21" t="s">
        <v>315</v>
      </c>
      <c r="D277" s="21" t="s">
        <v>240</v>
      </c>
      <c r="E277" s="21" t="s">
        <v>1677</v>
      </c>
      <c r="F277" s="21" t="s">
        <v>1719</v>
      </c>
      <c r="G277" s="21" t="s">
        <v>1720</v>
      </c>
      <c r="H277" s="21" t="s">
        <v>1215</v>
      </c>
      <c r="I277" s="21" t="s">
        <v>1721</v>
      </c>
      <c r="J277" s="62">
        <v>44994</v>
      </c>
      <c r="K277" s="62">
        <v>44994</v>
      </c>
      <c r="L277" s="62">
        <v>26946</v>
      </c>
      <c r="M277" s="21" t="s">
        <v>319</v>
      </c>
      <c r="N277" s="21" t="s">
        <v>240</v>
      </c>
      <c r="O277" s="63">
        <v>70000</v>
      </c>
      <c r="P277" s="21" t="s">
        <v>620</v>
      </c>
      <c r="Q277" s="21" t="s">
        <v>948</v>
      </c>
      <c r="R277" s="21" t="s">
        <v>1722</v>
      </c>
      <c r="S277" s="21" t="s">
        <v>1162</v>
      </c>
      <c r="T277" s="21" t="s">
        <v>1163</v>
      </c>
      <c r="U277" s="21" t="s">
        <v>1723</v>
      </c>
      <c r="V277" s="21" t="s">
        <v>326</v>
      </c>
      <c r="W277" s="21" t="s">
        <v>1724</v>
      </c>
      <c r="X277" s="21" t="s">
        <v>375</v>
      </c>
      <c r="Z277">
        <v>0</v>
      </c>
      <c r="AA277">
        <v>0</v>
      </c>
    </row>
    <row r="278" spans="1:27" x14ac:dyDescent="0.25">
      <c r="A278" s="21" t="s">
        <v>364</v>
      </c>
      <c r="B278" s="21" t="s">
        <v>315</v>
      </c>
      <c r="C278" s="21" t="s">
        <v>315</v>
      </c>
      <c r="D278" s="21" t="s">
        <v>199</v>
      </c>
      <c r="E278" s="21" t="s">
        <v>1677</v>
      </c>
      <c r="F278" s="21" t="s">
        <v>1739</v>
      </c>
      <c r="G278" s="21" t="s">
        <v>1740</v>
      </c>
      <c r="H278" s="21" t="s">
        <v>1741</v>
      </c>
      <c r="I278" s="21" t="s">
        <v>1742</v>
      </c>
      <c r="J278" s="62">
        <v>38099</v>
      </c>
      <c r="K278" s="62">
        <v>38099</v>
      </c>
      <c r="L278" s="62">
        <v>29122</v>
      </c>
      <c r="M278" s="21" t="s">
        <v>341</v>
      </c>
      <c r="N278" s="21" t="s">
        <v>199</v>
      </c>
      <c r="O278" s="63">
        <v>217.32</v>
      </c>
      <c r="P278" s="21" t="s">
        <v>1743</v>
      </c>
      <c r="Q278" s="21" t="s">
        <v>1744</v>
      </c>
      <c r="R278" s="21"/>
      <c r="S278" s="21" t="s">
        <v>323</v>
      </c>
      <c r="T278" s="21" t="s">
        <v>324</v>
      </c>
      <c r="U278" s="21" t="s">
        <v>325</v>
      </c>
      <c r="V278" s="21" t="s">
        <v>370</v>
      </c>
      <c r="W278" s="21" t="s">
        <v>1745</v>
      </c>
      <c r="X278" s="21" t="s">
        <v>328</v>
      </c>
      <c r="Z278">
        <v>0</v>
      </c>
      <c r="AA278">
        <v>0</v>
      </c>
    </row>
    <row r="279" spans="1:27" x14ac:dyDescent="0.25">
      <c r="A279" s="21" t="s">
        <v>314</v>
      </c>
      <c r="B279" s="21" t="s">
        <v>315</v>
      </c>
      <c r="C279" s="21" t="s">
        <v>315</v>
      </c>
      <c r="D279" s="21" t="s">
        <v>199</v>
      </c>
      <c r="E279" s="21" t="s">
        <v>1677</v>
      </c>
      <c r="F279" s="21" t="s">
        <v>1849</v>
      </c>
      <c r="G279" s="21" t="s">
        <v>1850</v>
      </c>
      <c r="H279" s="21" t="s">
        <v>1851</v>
      </c>
      <c r="I279" s="21" t="s">
        <v>1852</v>
      </c>
      <c r="J279" s="62">
        <v>44743</v>
      </c>
      <c r="K279" s="62">
        <v>44743</v>
      </c>
      <c r="L279" s="62">
        <v>26432</v>
      </c>
      <c r="M279" s="21" t="s">
        <v>319</v>
      </c>
      <c r="N279" s="21" t="s">
        <v>199</v>
      </c>
      <c r="O279" s="63">
        <v>217.93</v>
      </c>
      <c r="P279" s="21" t="s">
        <v>373</v>
      </c>
      <c r="Q279" s="21" t="s">
        <v>693</v>
      </c>
      <c r="R279" s="21" t="s">
        <v>1853</v>
      </c>
      <c r="S279" s="21" t="s">
        <v>323</v>
      </c>
      <c r="T279" s="21" t="s">
        <v>324</v>
      </c>
      <c r="U279" s="21" t="s">
        <v>325</v>
      </c>
      <c r="V279" s="21" t="s">
        <v>355</v>
      </c>
      <c r="W279" s="21" t="s">
        <v>1854</v>
      </c>
      <c r="X279" s="21" t="s">
        <v>375</v>
      </c>
      <c r="Z279">
        <v>0</v>
      </c>
      <c r="AA279">
        <v>0</v>
      </c>
    </row>
    <row r="280" spans="1:27" x14ac:dyDescent="0.25">
      <c r="A280" s="21" t="s">
        <v>502</v>
      </c>
      <c r="B280" s="21" t="s">
        <v>315</v>
      </c>
      <c r="C280" s="21" t="s">
        <v>315</v>
      </c>
      <c r="D280" s="21" t="s">
        <v>240</v>
      </c>
      <c r="E280" s="21" t="s">
        <v>1677</v>
      </c>
      <c r="F280" s="21" t="s">
        <v>1889</v>
      </c>
      <c r="G280" s="21" t="s">
        <v>1890</v>
      </c>
      <c r="H280" s="21" t="s">
        <v>321</v>
      </c>
      <c r="I280" s="21" t="s">
        <v>1891</v>
      </c>
      <c r="J280" s="62">
        <v>43505</v>
      </c>
      <c r="K280" s="62">
        <v>43505</v>
      </c>
      <c r="L280" s="62">
        <v>25569</v>
      </c>
      <c r="M280" s="21" t="s">
        <v>319</v>
      </c>
      <c r="N280" s="21" t="s">
        <v>240</v>
      </c>
      <c r="O280" s="63">
        <v>65000</v>
      </c>
      <c r="P280" s="21" t="s">
        <v>333</v>
      </c>
      <c r="Q280" s="21" t="s">
        <v>1671</v>
      </c>
      <c r="R280" s="21"/>
      <c r="S280" s="21" t="s">
        <v>1162</v>
      </c>
      <c r="T280" s="21" t="s">
        <v>1163</v>
      </c>
      <c r="U280" s="21" t="s">
        <v>1579</v>
      </c>
      <c r="V280" s="21" t="s">
        <v>326</v>
      </c>
      <c r="W280" s="21" t="s">
        <v>1892</v>
      </c>
      <c r="X280" s="21" t="s">
        <v>375</v>
      </c>
      <c r="Z280">
        <v>0</v>
      </c>
      <c r="AA280">
        <v>0</v>
      </c>
    </row>
    <row r="281" spans="1:27" x14ac:dyDescent="0.25">
      <c r="A281" s="21" t="s">
        <v>329</v>
      </c>
      <c r="B281" s="21" t="s">
        <v>315</v>
      </c>
      <c r="C281" s="21" t="s">
        <v>315</v>
      </c>
      <c r="D281" s="21" t="s">
        <v>199</v>
      </c>
      <c r="E281" s="21" t="s">
        <v>1677</v>
      </c>
      <c r="F281" s="21" t="s">
        <v>1899</v>
      </c>
      <c r="G281" s="21" t="s">
        <v>1900</v>
      </c>
      <c r="H281" s="21" t="s">
        <v>321</v>
      </c>
      <c r="I281" s="21" t="s">
        <v>1446</v>
      </c>
      <c r="J281" s="62">
        <v>45989</v>
      </c>
      <c r="K281" s="62">
        <v>46023</v>
      </c>
      <c r="L281" s="62">
        <v>28326</v>
      </c>
      <c r="M281" s="21" t="s">
        <v>319</v>
      </c>
      <c r="N281" s="21" t="s">
        <v>199</v>
      </c>
      <c r="O281" s="63">
        <v>191.92</v>
      </c>
      <c r="P281" s="21" t="s">
        <v>695</v>
      </c>
      <c r="Q281" s="21" t="s">
        <v>1901</v>
      </c>
      <c r="R281" s="21"/>
      <c r="S281" s="21" t="s">
        <v>323</v>
      </c>
      <c r="T281" s="21" t="s">
        <v>324</v>
      </c>
      <c r="U281" s="21" t="s">
        <v>325</v>
      </c>
      <c r="V281" s="21" t="s">
        <v>355</v>
      </c>
      <c r="W281" s="21" t="s">
        <v>1902</v>
      </c>
      <c r="X281" s="21" t="s">
        <v>375</v>
      </c>
      <c r="Z281">
        <v>0</v>
      </c>
      <c r="AA281">
        <v>0</v>
      </c>
    </row>
    <row r="282" spans="1:27" x14ac:dyDescent="0.25">
      <c r="A282" s="21" t="s">
        <v>314</v>
      </c>
      <c r="B282" s="21" t="s">
        <v>315</v>
      </c>
      <c r="C282" s="21" t="s">
        <v>315</v>
      </c>
      <c r="D282" s="21" t="s">
        <v>199</v>
      </c>
      <c r="E282" s="21" t="s">
        <v>1677</v>
      </c>
      <c r="F282" s="21" t="s">
        <v>2130</v>
      </c>
      <c r="G282" s="21" t="s">
        <v>2131</v>
      </c>
      <c r="H282" s="21" t="s">
        <v>2132</v>
      </c>
      <c r="I282" s="21" t="s">
        <v>749</v>
      </c>
      <c r="J282" s="62">
        <v>45413</v>
      </c>
      <c r="K282" s="62">
        <v>45413</v>
      </c>
      <c r="L282" s="62">
        <v>29701</v>
      </c>
      <c r="M282" s="21" t="s">
        <v>319</v>
      </c>
      <c r="N282" s="21" t="s">
        <v>199</v>
      </c>
      <c r="O282" s="63">
        <v>193.73</v>
      </c>
      <c r="P282" s="21"/>
      <c r="Q282" s="21" t="s">
        <v>531</v>
      </c>
      <c r="R282" s="21" t="s">
        <v>2133</v>
      </c>
      <c r="S282" s="21" t="s">
        <v>323</v>
      </c>
      <c r="T282" s="21" t="s">
        <v>324</v>
      </c>
      <c r="U282" s="21" t="s">
        <v>325</v>
      </c>
      <c r="V282" s="21" t="s">
        <v>450</v>
      </c>
      <c r="W282" s="21" t="s">
        <v>2134</v>
      </c>
      <c r="X282" s="21" t="s">
        <v>375</v>
      </c>
      <c r="Z282">
        <v>0</v>
      </c>
      <c r="AA282">
        <v>0</v>
      </c>
    </row>
    <row r="283" spans="1:27" x14ac:dyDescent="0.25">
      <c r="A283" s="21" t="s">
        <v>337</v>
      </c>
      <c r="B283" s="21" t="s">
        <v>315</v>
      </c>
      <c r="C283" s="21" t="s">
        <v>315</v>
      </c>
      <c r="D283" s="21" t="s">
        <v>199</v>
      </c>
      <c r="E283" s="21" t="s">
        <v>1677</v>
      </c>
      <c r="F283" s="21" t="s">
        <v>2198</v>
      </c>
      <c r="G283" s="21" t="s">
        <v>2199</v>
      </c>
      <c r="H283" s="21" t="s">
        <v>2200</v>
      </c>
      <c r="I283" s="21" t="s">
        <v>2201</v>
      </c>
      <c r="J283" s="62">
        <v>40533</v>
      </c>
      <c r="K283" s="62">
        <v>40533</v>
      </c>
      <c r="L283" s="62">
        <v>29316</v>
      </c>
      <c r="M283" s="21" t="s">
        <v>319</v>
      </c>
      <c r="N283" s="21" t="s">
        <v>199</v>
      </c>
      <c r="O283" s="63">
        <v>242.15</v>
      </c>
      <c r="P283" s="21" t="s">
        <v>708</v>
      </c>
      <c r="Q283" s="21" t="s">
        <v>2202</v>
      </c>
      <c r="R283" s="21"/>
      <c r="S283" s="21" t="s">
        <v>323</v>
      </c>
      <c r="T283" s="21" t="s">
        <v>324</v>
      </c>
      <c r="U283" s="21" t="s">
        <v>325</v>
      </c>
      <c r="V283" s="21" t="s">
        <v>370</v>
      </c>
      <c r="W283" s="21" t="s">
        <v>2203</v>
      </c>
      <c r="X283" s="21" t="s">
        <v>328</v>
      </c>
      <c r="Z283">
        <v>0</v>
      </c>
      <c r="AA283">
        <v>0</v>
      </c>
    </row>
    <row r="284" spans="1:27" x14ac:dyDescent="0.25">
      <c r="A284" s="21" t="s">
        <v>314</v>
      </c>
      <c r="B284" s="21" t="s">
        <v>315</v>
      </c>
      <c r="C284" s="21" t="s">
        <v>315</v>
      </c>
      <c r="D284" s="21" t="s">
        <v>241</v>
      </c>
      <c r="E284" s="21" t="s">
        <v>1366</v>
      </c>
      <c r="F284" s="21" t="s">
        <v>1367</v>
      </c>
      <c r="G284" s="21" t="s">
        <v>1368</v>
      </c>
      <c r="H284" s="21" t="s">
        <v>1369</v>
      </c>
      <c r="I284" s="21" t="s">
        <v>1370</v>
      </c>
      <c r="J284" s="62">
        <v>45378</v>
      </c>
      <c r="K284" s="62">
        <v>45378</v>
      </c>
      <c r="L284" s="62">
        <v>30533</v>
      </c>
      <c r="M284" s="21" t="s">
        <v>341</v>
      </c>
      <c r="N284" s="21" t="s">
        <v>241</v>
      </c>
      <c r="O284" s="63">
        <v>186.27</v>
      </c>
      <c r="P284" s="21" t="s">
        <v>957</v>
      </c>
      <c r="Q284" s="21" t="s">
        <v>493</v>
      </c>
      <c r="R284" s="21"/>
      <c r="S284" s="21" t="s">
        <v>396</v>
      </c>
      <c r="T284" s="21" t="s">
        <v>397</v>
      </c>
      <c r="U284" s="21" t="s">
        <v>398</v>
      </c>
      <c r="V284" s="21" t="s">
        <v>355</v>
      </c>
      <c r="W284" s="21" t="s">
        <v>1371</v>
      </c>
      <c r="X284" s="21" t="s">
        <v>375</v>
      </c>
      <c r="Z284">
        <v>0</v>
      </c>
      <c r="AA284">
        <v>0</v>
      </c>
    </row>
    <row r="285" spans="1:27" x14ac:dyDescent="0.25">
      <c r="A285" s="21" t="s">
        <v>713</v>
      </c>
      <c r="B285" s="21" t="s">
        <v>315</v>
      </c>
      <c r="C285" s="21" t="s">
        <v>315</v>
      </c>
      <c r="D285" s="21" t="s">
        <v>241</v>
      </c>
      <c r="E285" s="21" t="s">
        <v>1366</v>
      </c>
      <c r="F285" s="21" t="s">
        <v>1444</v>
      </c>
      <c r="G285" s="21" t="s">
        <v>1445</v>
      </c>
      <c r="H285" s="21" t="s">
        <v>867</v>
      </c>
      <c r="I285" s="21" t="s">
        <v>1446</v>
      </c>
      <c r="J285" s="62">
        <v>45231</v>
      </c>
      <c r="K285" s="62">
        <v>45231</v>
      </c>
      <c r="L285" s="62">
        <v>29423</v>
      </c>
      <c r="M285" s="21" t="s">
        <v>319</v>
      </c>
      <c r="N285" s="21" t="s">
        <v>241</v>
      </c>
      <c r="O285" s="63">
        <v>183.46</v>
      </c>
      <c r="P285" s="21" t="s">
        <v>697</v>
      </c>
      <c r="Q285" s="21" t="s">
        <v>1400</v>
      </c>
      <c r="R285" s="21" t="s">
        <v>1447</v>
      </c>
      <c r="S285" s="21" t="s">
        <v>1266</v>
      </c>
      <c r="T285" s="21" t="s">
        <v>1267</v>
      </c>
      <c r="U285" s="21" t="s">
        <v>1448</v>
      </c>
      <c r="V285" s="21" t="s">
        <v>370</v>
      </c>
      <c r="W285" s="21" t="s">
        <v>1449</v>
      </c>
      <c r="X285" s="21" t="s">
        <v>375</v>
      </c>
      <c r="Z285">
        <v>0</v>
      </c>
      <c r="AA285">
        <v>0</v>
      </c>
    </row>
    <row r="286" spans="1:27" x14ac:dyDescent="0.25">
      <c r="A286" s="21" t="s">
        <v>329</v>
      </c>
      <c r="B286" s="21" t="s">
        <v>315</v>
      </c>
      <c r="C286" s="21" t="s">
        <v>315</v>
      </c>
      <c r="D286" s="21" t="s">
        <v>240</v>
      </c>
      <c r="E286" s="21" t="s">
        <v>1366</v>
      </c>
      <c r="F286" s="21" t="s">
        <v>1566</v>
      </c>
      <c r="G286" s="21" t="s">
        <v>1567</v>
      </c>
      <c r="H286" s="21" t="s">
        <v>464</v>
      </c>
      <c r="I286" s="21" t="s">
        <v>1568</v>
      </c>
      <c r="J286" s="62">
        <v>45243</v>
      </c>
      <c r="K286" s="62">
        <v>45689</v>
      </c>
      <c r="L286" s="62">
        <v>36219</v>
      </c>
      <c r="M286" s="21" t="s">
        <v>319</v>
      </c>
      <c r="N286" s="21" t="s">
        <v>240</v>
      </c>
      <c r="O286" s="63">
        <v>50800</v>
      </c>
      <c r="P286" s="21" t="s">
        <v>478</v>
      </c>
      <c r="Q286" s="21" t="s">
        <v>531</v>
      </c>
      <c r="R286" s="21" t="s">
        <v>1569</v>
      </c>
      <c r="S286" s="21" t="s">
        <v>714</v>
      </c>
      <c r="T286" s="21" t="s">
        <v>715</v>
      </c>
      <c r="U286" s="21" t="s">
        <v>716</v>
      </c>
      <c r="V286" s="21" t="s">
        <v>326</v>
      </c>
      <c r="W286" s="21" t="s">
        <v>1570</v>
      </c>
      <c r="X286" s="21" t="s">
        <v>328</v>
      </c>
      <c r="Z286">
        <v>0</v>
      </c>
      <c r="AA286">
        <v>0</v>
      </c>
    </row>
    <row r="287" spans="1:27" x14ac:dyDescent="0.25">
      <c r="A287" s="21" t="s">
        <v>364</v>
      </c>
      <c r="B287" s="21" t="s">
        <v>315</v>
      </c>
      <c r="C287" s="21" t="s">
        <v>315</v>
      </c>
      <c r="D287" s="21" t="s">
        <v>241</v>
      </c>
      <c r="E287" s="21" t="s">
        <v>1366</v>
      </c>
      <c r="F287" s="21" t="s">
        <v>1571</v>
      </c>
      <c r="G287" s="21" t="s">
        <v>1572</v>
      </c>
      <c r="H287" s="21" t="s">
        <v>1573</v>
      </c>
      <c r="I287" s="21" t="s">
        <v>619</v>
      </c>
      <c r="J287" s="62">
        <v>45005</v>
      </c>
      <c r="K287" s="62">
        <v>45005</v>
      </c>
      <c r="L287" s="62">
        <v>32650</v>
      </c>
      <c r="M287" s="21" t="s">
        <v>319</v>
      </c>
      <c r="N287" s="21" t="s">
        <v>241</v>
      </c>
      <c r="O287" s="63">
        <v>220.14</v>
      </c>
      <c r="P287" s="21" t="s">
        <v>546</v>
      </c>
      <c r="Q287" s="21" t="s">
        <v>1574</v>
      </c>
      <c r="R287" s="21" t="s">
        <v>1575</v>
      </c>
      <c r="S287" s="21" t="s">
        <v>1266</v>
      </c>
      <c r="T287" s="21" t="s">
        <v>1267</v>
      </c>
      <c r="U287" s="21" t="s">
        <v>1576</v>
      </c>
      <c r="V287" s="21" t="s">
        <v>370</v>
      </c>
      <c r="W287" s="21" t="s">
        <v>1577</v>
      </c>
      <c r="X287" s="21" t="s">
        <v>328</v>
      </c>
      <c r="Z287">
        <v>0</v>
      </c>
      <c r="AA287">
        <v>0</v>
      </c>
    </row>
    <row r="288" spans="1:27" x14ac:dyDescent="0.25">
      <c r="A288" s="21" t="s">
        <v>329</v>
      </c>
      <c r="B288" s="21" t="s">
        <v>315</v>
      </c>
      <c r="C288" s="21" t="s">
        <v>315</v>
      </c>
      <c r="D288" s="21" t="s">
        <v>241</v>
      </c>
      <c r="E288" s="21" t="s">
        <v>1366</v>
      </c>
      <c r="F288" s="21" t="s">
        <v>1667</v>
      </c>
      <c r="G288" s="21" t="s">
        <v>1668</v>
      </c>
      <c r="H288" s="21" t="s">
        <v>1669</v>
      </c>
      <c r="I288" s="21" t="s">
        <v>1670</v>
      </c>
      <c r="J288" s="62">
        <v>44629</v>
      </c>
      <c r="K288" s="62">
        <v>45758</v>
      </c>
      <c r="L288" s="62">
        <v>26361</v>
      </c>
      <c r="M288" s="21" t="s">
        <v>319</v>
      </c>
      <c r="N288" s="21" t="s">
        <v>241</v>
      </c>
      <c r="O288" s="63">
        <v>174.98</v>
      </c>
      <c r="P288" s="21" t="s">
        <v>482</v>
      </c>
      <c r="Q288" s="21" t="s">
        <v>1671</v>
      </c>
      <c r="R288" s="21" t="s">
        <v>2338</v>
      </c>
      <c r="S288" s="21" t="s">
        <v>710</v>
      </c>
      <c r="T288" s="21" t="s">
        <v>711</v>
      </c>
      <c r="U288" s="21" t="s">
        <v>712</v>
      </c>
      <c r="V288" s="21" t="s">
        <v>370</v>
      </c>
      <c r="W288" s="21"/>
      <c r="X288" s="21" t="s">
        <v>375</v>
      </c>
      <c r="Z288">
        <v>0</v>
      </c>
      <c r="AA288">
        <v>0</v>
      </c>
    </row>
    <row r="289" spans="1:27" x14ac:dyDescent="0.25">
      <c r="A289" s="21" t="s">
        <v>329</v>
      </c>
      <c r="B289" s="21" t="s">
        <v>315</v>
      </c>
      <c r="C289" s="21" t="s">
        <v>315</v>
      </c>
      <c r="D289" s="21" t="s">
        <v>241</v>
      </c>
      <c r="E289" s="21" t="s">
        <v>1366</v>
      </c>
      <c r="F289" s="21" t="s">
        <v>1672</v>
      </c>
      <c r="G289" s="21" t="s">
        <v>1673</v>
      </c>
      <c r="H289" s="21" t="s">
        <v>736</v>
      </c>
      <c r="I289" s="21" t="s">
        <v>727</v>
      </c>
      <c r="J289" s="62">
        <v>45505</v>
      </c>
      <c r="K289" s="62">
        <v>45505</v>
      </c>
      <c r="L289" s="62">
        <v>32725</v>
      </c>
      <c r="M289" s="21" t="s">
        <v>319</v>
      </c>
      <c r="N289" s="21" t="s">
        <v>241</v>
      </c>
      <c r="O289" s="63">
        <v>183.46</v>
      </c>
      <c r="P289" s="21" t="s">
        <v>1674</v>
      </c>
      <c r="Q289" s="21" t="s">
        <v>317</v>
      </c>
      <c r="R289" s="21" t="s">
        <v>1675</v>
      </c>
      <c r="S289" s="21" t="s">
        <v>1266</v>
      </c>
      <c r="T289" s="21" t="s">
        <v>1267</v>
      </c>
      <c r="U289" s="21" t="s">
        <v>1448</v>
      </c>
      <c r="V289" s="21" t="s">
        <v>326</v>
      </c>
      <c r="W289" s="21" t="s">
        <v>1676</v>
      </c>
      <c r="X289" s="21" t="s">
        <v>328</v>
      </c>
      <c r="Z289">
        <v>0</v>
      </c>
      <c r="AA289">
        <v>0</v>
      </c>
    </row>
    <row r="290" spans="1:27" x14ac:dyDescent="0.25">
      <c r="A290" s="21" t="s">
        <v>444</v>
      </c>
      <c r="B290" s="21" t="s">
        <v>315</v>
      </c>
      <c r="C290" s="21" t="s">
        <v>315</v>
      </c>
      <c r="D290" s="21" t="s">
        <v>241</v>
      </c>
      <c r="E290" s="21" t="s">
        <v>1366</v>
      </c>
      <c r="F290" s="21" t="s">
        <v>2036</v>
      </c>
      <c r="G290" s="21" t="s">
        <v>2037</v>
      </c>
      <c r="H290" s="21" t="s">
        <v>657</v>
      </c>
      <c r="I290" s="21" t="s">
        <v>735</v>
      </c>
      <c r="J290" s="62">
        <v>44410</v>
      </c>
      <c r="K290" s="62">
        <v>44410</v>
      </c>
      <c r="L290" s="62">
        <v>26349</v>
      </c>
      <c r="M290" s="21" t="s">
        <v>319</v>
      </c>
      <c r="N290" s="21" t="s">
        <v>241</v>
      </c>
      <c r="O290" s="63">
        <v>183.46</v>
      </c>
      <c r="P290" s="21" t="s">
        <v>2038</v>
      </c>
      <c r="Q290" s="21" t="s">
        <v>657</v>
      </c>
      <c r="R290" s="21" t="s">
        <v>2039</v>
      </c>
      <c r="S290" s="21" t="s">
        <v>1266</v>
      </c>
      <c r="T290" s="21" t="s">
        <v>1267</v>
      </c>
      <c r="U290" s="21" t="s">
        <v>1448</v>
      </c>
      <c r="V290" s="21" t="s">
        <v>326</v>
      </c>
      <c r="W290" s="21" t="s">
        <v>2040</v>
      </c>
      <c r="X290" s="21" t="s">
        <v>328</v>
      </c>
      <c r="Z290">
        <v>0</v>
      </c>
      <c r="AA290">
        <v>0</v>
      </c>
    </row>
    <row r="291" spans="1:27" x14ac:dyDescent="0.25">
      <c r="A291" s="21" t="s">
        <v>329</v>
      </c>
      <c r="B291" s="21" t="s">
        <v>315</v>
      </c>
      <c r="C291" s="21" t="s">
        <v>315</v>
      </c>
      <c r="D291" s="21" t="s">
        <v>241</v>
      </c>
      <c r="E291" s="21" t="s">
        <v>1366</v>
      </c>
      <c r="F291" s="21" t="s">
        <v>2176</v>
      </c>
      <c r="G291" s="21" t="s">
        <v>2177</v>
      </c>
      <c r="H291" s="21" t="s">
        <v>2178</v>
      </c>
      <c r="I291" s="21" t="s">
        <v>2179</v>
      </c>
      <c r="J291" s="62">
        <v>45491</v>
      </c>
      <c r="K291" s="62">
        <v>45491</v>
      </c>
      <c r="L291" s="62">
        <v>24899</v>
      </c>
      <c r="M291" s="21" t="s">
        <v>319</v>
      </c>
      <c r="N291" s="21" t="s">
        <v>241</v>
      </c>
      <c r="O291" s="63">
        <v>161.44</v>
      </c>
      <c r="P291" s="21" t="s">
        <v>694</v>
      </c>
      <c r="Q291" s="21" t="s">
        <v>2180</v>
      </c>
      <c r="R291" s="21" t="s">
        <v>2181</v>
      </c>
      <c r="S291" s="21" t="s">
        <v>667</v>
      </c>
      <c r="T291" s="21" t="s">
        <v>668</v>
      </c>
      <c r="U291" s="21" t="s">
        <v>2182</v>
      </c>
      <c r="V291" s="21" t="s">
        <v>355</v>
      </c>
      <c r="W291" s="21" t="s">
        <v>2183</v>
      </c>
      <c r="X291" s="21" t="s">
        <v>328</v>
      </c>
      <c r="Z291">
        <v>0</v>
      </c>
      <c r="AA291">
        <v>0</v>
      </c>
    </row>
    <row r="292" spans="1:27" x14ac:dyDescent="0.25">
      <c r="A292" s="21" t="s">
        <v>364</v>
      </c>
      <c r="B292" s="21" t="s">
        <v>2226</v>
      </c>
      <c r="C292" s="21" t="s">
        <v>2227</v>
      </c>
      <c r="D292" s="21" t="s">
        <v>2228</v>
      </c>
      <c r="E292" s="21" t="s">
        <v>227</v>
      </c>
      <c r="F292" s="21" t="s">
        <v>2229</v>
      </c>
      <c r="G292" s="21" t="s">
        <v>2230</v>
      </c>
      <c r="H292" s="21" t="s">
        <v>2231</v>
      </c>
      <c r="I292" s="21" t="s">
        <v>2232</v>
      </c>
      <c r="J292" s="62">
        <v>43136</v>
      </c>
      <c r="K292" s="62">
        <v>43136</v>
      </c>
      <c r="L292" s="62">
        <v>34874</v>
      </c>
      <c r="M292" s="21" t="s">
        <v>319</v>
      </c>
      <c r="N292" s="21" t="s">
        <v>2228</v>
      </c>
      <c r="O292" s="63">
        <v>65000</v>
      </c>
      <c r="P292" s="21" t="s">
        <v>478</v>
      </c>
      <c r="Q292" s="21" t="s">
        <v>2233</v>
      </c>
      <c r="R292" s="21"/>
      <c r="S292" s="21" t="s">
        <v>667</v>
      </c>
      <c r="T292" s="21" t="s">
        <v>668</v>
      </c>
      <c r="U292" s="21" t="s">
        <v>2234</v>
      </c>
      <c r="V292" s="21" t="s">
        <v>326</v>
      </c>
      <c r="W292" s="21" t="s">
        <v>2235</v>
      </c>
      <c r="X292" s="21" t="s">
        <v>328</v>
      </c>
      <c r="Z292">
        <v>0</v>
      </c>
      <c r="AA292">
        <v>0</v>
      </c>
    </row>
    <row r="293" spans="1:27" x14ac:dyDescent="0.25">
      <c r="A293" s="21" t="s">
        <v>329</v>
      </c>
      <c r="B293" s="21" t="s">
        <v>2226</v>
      </c>
      <c r="C293" s="21" t="s">
        <v>2227</v>
      </c>
      <c r="D293" s="21" t="s">
        <v>227</v>
      </c>
      <c r="E293" s="21" t="s">
        <v>227</v>
      </c>
      <c r="F293" s="21" t="s">
        <v>2492</v>
      </c>
      <c r="G293" s="21" t="s">
        <v>2493</v>
      </c>
      <c r="H293" s="21" t="s">
        <v>2494</v>
      </c>
      <c r="I293" s="21" t="s">
        <v>2236</v>
      </c>
      <c r="J293" s="62">
        <v>42856</v>
      </c>
      <c r="K293" s="62">
        <v>42856</v>
      </c>
      <c r="L293" s="62">
        <v>32617</v>
      </c>
      <c r="M293" s="21" t="s">
        <v>319</v>
      </c>
      <c r="N293" s="21" t="s">
        <v>227</v>
      </c>
      <c r="O293" s="63">
        <v>100000</v>
      </c>
      <c r="P293" s="21" t="s">
        <v>867</v>
      </c>
      <c r="Q293" s="21" t="s">
        <v>2495</v>
      </c>
      <c r="R293" s="21"/>
      <c r="S293" s="21"/>
      <c r="T293" s="21"/>
      <c r="U293" s="21" t="s">
        <v>2496</v>
      </c>
      <c r="V293" s="21" t="s">
        <v>326</v>
      </c>
      <c r="W293" s="21"/>
      <c r="X293" s="21" t="s">
        <v>2497</v>
      </c>
      <c r="Z293">
        <v>0</v>
      </c>
      <c r="AA293">
        <v>0</v>
      </c>
    </row>
    <row r="294" spans="1:27" x14ac:dyDescent="0.25">
      <c r="A294" s="21" t="s">
        <v>329</v>
      </c>
      <c r="B294" s="21" t="s">
        <v>2226</v>
      </c>
      <c r="C294" s="21" t="s">
        <v>2227</v>
      </c>
      <c r="D294" s="21" t="s">
        <v>2228</v>
      </c>
      <c r="E294" s="21" t="s">
        <v>227</v>
      </c>
      <c r="F294" s="21" t="s">
        <v>2498</v>
      </c>
      <c r="G294" s="21" t="s">
        <v>2499</v>
      </c>
      <c r="H294" s="21" t="s">
        <v>2500</v>
      </c>
      <c r="I294" s="21" t="s">
        <v>751</v>
      </c>
      <c r="J294" s="62">
        <v>45642</v>
      </c>
      <c r="K294" s="62">
        <v>45642</v>
      </c>
      <c r="L294" s="62">
        <v>31227</v>
      </c>
      <c r="M294" s="21" t="s">
        <v>319</v>
      </c>
      <c r="N294" s="21" t="s">
        <v>2228</v>
      </c>
      <c r="O294" s="63">
        <v>120000</v>
      </c>
      <c r="P294" s="21" t="s">
        <v>708</v>
      </c>
      <c r="Q294" s="21" t="s">
        <v>2501</v>
      </c>
      <c r="R294" s="21"/>
      <c r="S294" s="21" t="s">
        <v>687</v>
      </c>
      <c r="T294" s="21" t="s">
        <v>688</v>
      </c>
      <c r="U294" s="21" t="s">
        <v>2496</v>
      </c>
      <c r="V294" s="21" t="s">
        <v>666</v>
      </c>
      <c r="W294" s="21"/>
      <c r="X294" s="21" t="s">
        <v>328</v>
      </c>
      <c r="Z294">
        <v>0</v>
      </c>
      <c r="AA294">
        <v>0</v>
      </c>
    </row>
    <row r="295" spans="1:27" x14ac:dyDescent="0.25">
      <c r="A295" s="21" t="s">
        <v>329</v>
      </c>
      <c r="B295" s="21" t="s">
        <v>2226</v>
      </c>
      <c r="C295" s="21" t="s">
        <v>2227</v>
      </c>
      <c r="D295" s="21" t="s">
        <v>2228</v>
      </c>
      <c r="E295" s="21" t="s">
        <v>227</v>
      </c>
      <c r="F295" s="21" t="s">
        <v>2237</v>
      </c>
      <c r="G295" s="21" t="s">
        <v>2238</v>
      </c>
      <c r="H295" s="21" t="s">
        <v>2239</v>
      </c>
      <c r="I295" s="21" t="s">
        <v>2236</v>
      </c>
      <c r="J295" s="62">
        <v>43516</v>
      </c>
      <c r="K295" s="62">
        <v>43516</v>
      </c>
      <c r="L295" s="62">
        <v>32779</v>
      </c>
      <c r="M295" s="21" t="s">
        <v>341</v>
      </c>
      <c r="N295" s="21" t="s">
        <v>2228</v>
      </c>
      <c r="O295" s="63">
        <v>70000</v>
      </c>
      <c r="P295" s="21" t="s">
        <v>692</v>
      </c>
      <c r="Q295" s="21" t="s">
        <v>752</v>
      </c>
      <c r="R295" s="21"/>
      <c r="S295" s="21" t="s">
        <v>1249</v>
      </c>
      <c r="T295" s="21" t="s">
        <v>1250</v>
      </c>
      <c r="U295" s="21" t="s">
        <v>1251</v>
      </c>
      <c r="V295" s="21" t="s">
        <v>326</v>
      </c>
      <c r="W295" s="21" t="s">
        <v>2240</v>
      </c>
      <c r="X295" s="21" t="s">
        <v>328</v>
      </c>
      <c r="Z295">
        <v>0</v>
      </c>
      <c r="AA295">
        <v>0</v>
      </c>
    </row>
  </sheetData>
  <autoFilter ref="A1:AB1" xr:uid="{BEC7AB48-1581-4550-BE9E-72643F03A22D}">
    <sortState xmlns:xlrd2="http://schemas.microsoft.com/office/spreadsheetml/2017/richdata2" ref="A2:AB295">
      <sortCondition ref="C1"/>
    </sortState>
  </autoFilter>
  <conditionalFormatting sqref="G1:G1048576">
    <cfRule type="duplicateValues" dxfId="1"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450E-FB6D-4A39-8DCB-4212181F31EE}">
  <sheetPr codeName="Sayfa13">
    <pageSetUpPr fitToPage="1"/>
  </sheetPr>
  <dimension ref="A1:E75"/>
  <sheetViews>
    <sheetView zoomScale="85" zoomScaleNormal="85" workbookViewId="0"/>
  </sheetViews>
  <sheetFormatPr defaultRowHeight="15" x14ac:dyDescent="0.25"/>
  <cols>
    <col min="1" max="1" width="21.7109375" style="87" customWidth="1"/>
    <col min="2" max="2" width="12.7109375" style="20" customWidth="1"/>
    <col min="3" max="4" width="17.7109375" style="122" customWidth="1"/>
    <col min="5" max="5" width="11.7109375" style="20" customWidth="1"/>
  </cols>
  <sheetData>
    <row r="1" spans="1:5" ht="21.95" customHeight="1" x14ac:dyDescent="0.25">
      <c r="A1" s="125" t="s">
        <v>3</v>
      </c>
      <c r="B1" s="123" t="s">
        <v>285</v>
      </c>
      <c r="C1" s="128" t="s">
        <v>11</v>
      </c>
      <c r="D1" s="128" t="s">
        <v>12</v>
      </c>
      <c r="E1" s="124" t="s">
        <v>2242</v>
      </c>
    </row>
    <row r="2" spans="1:5" ht="18" customHeight="1" x14ac:dyDescent="0.25">
      <c r="A2" s="126" t="s">
        <v>235</v>
      </c>
      <c r="B2" s="72" t="s">
        <v>239</v>
      </c>
      <c r="C2" s="129">
        <v>45593</v>
      </c>
      <c r="D2" s="129">
        <v>45593</v>
      </c>
      <c r="E2" s="134" t="s">
        <v>2502</v>
      </c>
    </row>
    <row r="3" spans="1:5" ht="18" customHeight="1" x14ac:dyDescent="0.25">
      <c r="A3" s="126" t="s">
        <v>235</v>
      </c>
      <c r="B3" s="72" t="s">
        <v>239</v>
      </c>
      <c r="C3" s="129">
        <v>45749</v>
      </c>
      <c r="D3" s="129">
        <v>45751</v>
      </c>
      <c r="E3" s="134" t="s">
        <v>43</v>
      </c>
    </row>
    <row r="4" spans="1:5" ht="18" customHeight="1" x14ac:dyDescent="0.25">
      <c r="A4" s="126" t="s">
        <v>235</v>
      </c>
      <c r="B4" s="72" t="s">
        <v>239</v>
      </c>
      <c r="C4" s="129">
        <v>45813</v>
      </c>
      <c r="D4" s="129">
        <v>45813</v>
      </c>
      <c r="E4" s="134" t="s">
        <v>2502</v>
      </c>
    </row>
    <row r="5" spans="1:5" ht="18" customHeight="1" x14ac:dyDescent="0.25">
      <c r="A5" s="126" t="s">
        <v>235</v>
      </c>
      <c r="B5" s="72" t="s">
        <v>239</v>
      </c>
      <c r="C5" s="129">
        <v>45877</v>
      </c>
      <c r="D5" s="129">
        <v>45889</v>
      </c>
      <c r="E5" s="134" t="s">
        <v>49</v>
      </c>
    </row>
    <row r="6" spans="1:5" ht="18" customHeight="1" x14ac:dyDescent="0.25">
      <c r="A6" s="126" t="s">
        <v>235</v>
      </c>
      <c r="B6" s="72" t="s">
        <v>239</v>
      </c>
      <c r="C6" s="129">
        <v>46024</v>
      </c>
      <c r="D6" s="129">
        <v>46024</v>
      </c>
      <c r="E6" s="134" t="s">
        <v>41</v>
      </c>
    </row>
    <row r="7" spans="1:5" ht="18" customHeight="1" x14ac:dyDescent="0.25">
      <c r="A7" s="126" t="s">
        <v>235</v>
      </c>
      <c r="B7" s="72" t="s">
        <v>239</v>
      </c>
      <c r="C7" s="129">
        <v>46167</v>
      </c>
      <c r="D7" s="129">
        <v>46168</v>
      </c>
      <c r="E7" s="134" t="s">
        <v>2401</v>
      </c>
    </row>
    <row r="8" spans="1:5" ht="18" customHeight="1" x14ac:dyDescent="0.25">
      <c r="A8" s="127" t="s">
        <v>235</v>
      </c>
      <c r="B8" s="70" t="s">
        <v>239</v>
      </c>
      <c r="C8" s="130">
        <v>46244</v>
      </c>
      <c r="D8" s="130">
        <v>46255</v>
      </c>
      <c r="E8" s="135" t="s">
        <v>50</v>
      </c>
    </row>
    <row r="9" spans="1:5" ht="18" customHeight="1" x14ac:dyDescent="0.25"/>
    <row r="10" spans="1:5" ht="18" customHeight="1" x14ac:dyDescent="0.25"/>
    <row r="11" spans="1:5" ht="18" customHeight="1" x14ac:dyDescent="0.25"/>
    <row r="12" spans="1:5" ht="18" customHeight="1" x14ac:dyDescent="0.25">
      <c r="A12" s="131" t="s">
        <v>2243</v>
      </c>
      <c r="B12" s="132">
        <v>45509</v>
      </c>
    </row>
    <row r="13" spans="1:5" ht="18" customHeight="1" x14ac:dyDescent="0.25">
      <c r="A13" s="131" t="s">
        <v>2244</v>
      </c>
      <c r="B13" s="132">
        <v>30835</v>
      </c>
    </row>
    <row r="14" spans="1:5" ht="18" customHeight="1" x14ac:dyDescent="0.25">
      <c r="A14" s="131" t="s">
        <v>2245</v>
      </c>
      <c r="B14" s="133" t="s">
        <v>68</v>
      </c>
    </row>
    <row r="15" spans="1:5" ht="18" customHeight="1" x14ac:dyDescent="0.25">
      <c r="A15" s="131" t="s">
        <v>2246</v>
      </c>
      <c r="B15" s="133" t="s">
        <v>2505</v>
      </c>
    </row>
    <row r="16" spans="1:5" ht="18" customHeight="1" x14ac:dyDescent="0.25">
      <c r="A16" s="131" t="s">
        <v>2247</v>
      </c>
      <c r="B16" s="133" t="s">
        <v>2506</v>
      </c>
    </row>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sheetData>
  <printOptions horizontalCentered="1"/>
  <pageMargins left="0.11811023622047243" right="0.11811023622047243" top="0.55118110236220463" bottom="0.55118110236220463" header="0.19685039370078738" footer="0.19685039370078738"/>
  <pageSetup paperSize="9" orientation="portrait" r:id="rId1"/>
  <headerFooter>
    <oddHeader>&amp;C&amp;"Calibri,Bold"&amp;14Personel İzin Raporu</oddHeader>
    <oddFooter>&amp;CSayfa &amp;P / &amp;N</oddFooter>
  </headerFooter>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19A69-F259-4260-84C1-F56C416061D4}">
  <sheetPr codeName="Sayfa10">
    <pageSetUpPr fitToPage="1"/>
  </sheetPr>
  <dimension ref="A1:L30"/>
  <sheetViews>
    <sheetView zoomScale="85" zoomScaleNormal="85" workbookViewId="0">
      <selection activeCell="E15" sqref="E15:H15"/>
    </sheetView>
  </sheetViews>
  <sheetFormatPr defaultRowHeight="15" x14ac:dyDescent="0.25"/>
  <cols>
    <col min="1" max="1" width="25.5703125" bestFit="1" customWidth="1"/>
    <col min="2" max="2" width="10.7109375" customWidth="1"/>
    <col min="3" max="4" width="14.7109375" customWidth="1"/>
    <col min="6" max="6" width="13.7109375" customWidth="1"/>
    <col min="7" max="7" width="10" customWidth="1"/>
    <col min="8" max="8" width="11.85546875" customWidth="1"/>
  </cols>
  <sheetData>
    <row r="1" spans="1:12" ht="15" customHeight="1" x14ac:dyDescent="0.25">
      <c r="A1" s="265" t="e" vm="1">
        <v>#VALUE!</v>
      </c>
      <c r="B1" s="268" t="s">
        <v>257</v>
      </c>
      <c r="C1" s="269"/>
      <c r="D1" s="270"/>
      <c r="E1" s="277" t="s">
        <v>258</v>
      </c>
      <c r="F1" s="278"/>
      <c r="G1" s="279"/>
      <c r="H1" s="49" t="s">
        <v>259</v>
      </c>
    </row>
    <row r="2" spans="1:12" x14ac:dyDescent="0.25">
      <c r="A2" s="266"/>
      <c r="B2" s="271"/>
      <c r="C2" s="272"/>
      <c r="D2" s="273"/>
      <c r="E2" s="277" t="s">
        <v>260</v>
      </c>
      <c r="F2" s="278"/>
      <c r="G2" s="279"/>
      <c r="H2" s="50">
        <v>44928</v>
      </c>
    </row>
    <row r="3" spans="1:12" x14ac:dyDescent="0.25">
      <c r="A3" s="266"/>
      <c r="B3" s="271"/>
      <c r="C3" s="272"/>
      <c r="D3" s="273"/>
      <c r="E3" s="277" t="s">
        <v>261</v>
      </c>
      <c r="F3" s="278"/>
      <c r="G3" s="279"/>
      <c r="H3" s="51"/>
    </row>
    <row r="4" spans="1:12" x14ac:dyDescent="0.25">
      <c r="A4" s="266"/>
      <c r="B4" s="271"/>
      <c r="C4" s="272"/>
      <c r="D4" s="273"/>
      <c r="E4" s="277" t="s">
        <v>262</v>
      </c>
      <c r="F4" s="278"/>
      <c r="G4" s="279"/>
      <c r="H4" s="51"/>
    </row>
    <row r="5" spans="1:12" x14ac:dyDescent="0.25">
      <c r="A5" s="267"/>
      <c r="B5" s="274"/>
      <c r="C5" s="275"/>
      <c r="D5" s="276"/>
      <c r="E5" s="277" t="s">
        <v>263</v>
      </c>
      <c r="F5" s="278"/>
      <c r="G5" s="279"/>
      <c r="H5" s="49">
        <v>1</v>
      </c>
    </row>
    <row r="6" spans="1:12" x14ac:dyDescent="0.25">
      <c r="A6" s="52"/>
      <c r="B6" s="52"/>
      <c r="C6" s="52"/>
      <c r="D6" s="52"/>
      <c r="E6" s="52"/>
      <c r="F6" s="52"/>
      <c r="G6" s="52"/>
      <c r="H6" s="52"/>
    </row>
    <row r="7" spans="1:12" x14ac:dyDescent="0.25">
      <c r="A7" s="247" t="s">
        <v>264</v>
      </c>
      <c r="B7" s="248"/>
      <c r="C7" s="248"/>
      <c r="D7" s="248"/>
      <c r="E7" s="249" t="s">
        <v>265</v>
      </c>
      <c r="F7" s="250"/>
      <c r="G7" s="250"/>
      <c r="H7" s="251"/>
    </row>
    <row r="8" spans="1:12" ht="45" customHeight="1" x14ac:dyDescent="0.25">
      <c r="A8" s="53" t="s">
        <v>3</v>
      </c>
      <c r="B8" s="252" t="s">
        <v>235</v>
      </c>
      <c r="C8" s="252"/>
      <c r="D8" s="252"/>
      <c r="E8" s="253" t="s">
        <v>266</v>
      </c>
      <c r="F8" s="254"/>
      <c r="G8" s="254"/>
      <c r="H8" s="255"/>
    </row>
    <row r="9" spans="1:12" ht="45" customHeight="1" x14ac:dyDescent="0.25">
      <c r="A9" s="54" t="s">
        <v>267</v>
      </c>
      <c r="B9" s="256" t="s">
        <v>239</v>
      </c>
      <c r="C9" s="256"/>
      <c r="D9" s="256"/>
      <c r="E9" s="257" t="s">
        <v>268</v>
      </c>
      <c r="F9" s="258"/>
      <c r="G9" s="258"/>
      <c r="H9" s="259"/>
    </row>
    <row r="10" spans="1:12" ht="24.95" customHeight="1" x14ac:dyDescent="0.25">
      <c r="A10" s="54" t="s">
        <v>4</v>
      </c>
      <c r="B10" s="261">
        <v>45509</v>
      </c>
      <c r="C10" s="261"/>
      <c r="D10" s="261"/>
      <c r="E10" s="260"/>
      <c r="F10" s="258"/>
      <c r="G10" s="258"/>
      <c r="H10" s="259"/>
    </row>
    <row r="11" spans="1:12" ht="24.95" customHeight="1" x14ac:dyDescent="0.25">
      <c r="A11" s="54" t="s">
        <v>269</v>
      </c>
      <c r="B11" s="262">
        <v>7325</v>
      </c>
      <c r="C11" s="263"/>
      <c r="D11" s="264"/>
      <c r="E11" s="260"/>
      <c r="F11" s="258"/>
      <c r="G11" s="258"/>
      <c r="H11" s="259"/>
    </row>
    <row r="12" spans="1:12" ht="45" customHeight="1" x14ac:dyDescent="0.25">
      <c r="A12" s="55" t="s">
        <v>270</v>
      </c>
      <c r="B12" s="224"/>
      <c r="C12" s="224"/>
      <c r="D12" s="224"/>
      <c r="E12" s="260"/>
      <c r="F12" s="258"/>
      <c r="G12" s="258"/>
      <c r="H12" s="259"/>
    </row>
    <row r="13" spans="1:12" ht="45" customHeight="1" x14ac:dyDescent="0.25">
      <c r="A13" s="54" t="s">
        <v>271</v>
      </c>
      <c r="B13" s="226">
        <v>46239</v>
      </c>
      <c r="C13" s="227"/>
      <c r="D13" s="227"/>
      <c r="E13" s="260"/>
      <c r="F13" s="258"/>
      <c r="G13" s="258"/>
      <c r="H13" s="259"/>
    </row>
    <row r="14" spans="1:12" ht="45" customHeight="1" x14ac:dyDescent="0.25">
      <c r="A14" s="53" t="s">
        <v>12</v>
      </c>
      <c r="B14" s="226">
        <v>46252</v>
      </c>
      <c r="C14" s="227"/>
      <c r="D14" s="227"/>
      <c r="E14" s="228" t="str">
        <f>"Personelin Adı : " &amp; B8</f>
        <v>Personelin Adı : LEVENT CANSIZ</v>
      </c>
      <c r="F14" s="229"/>
      <c r="G14" s="229"/>
      <c r="H14" s="230"/>
    </row>
    <row r="15" spans="1:12" ht="45" customHeight="1" x14ac:dyDescent="0.25">
      <c r="A15" s="53" t="s">
        <v>272</v>
      </c>
      <c r="B15" s="231">
        <v>10</v>
      </c>
      <c r="C15" s="231"/>
      <c r="D15" s="231"/>
      <c r="E15" s="232" t="str">
        <f ca="1">"İzin Talep Tarihi : " &amp; TEXT(MIN(TODAY(), B13), "GG.AA.YYYY")</f>
        <v>İzin Talep Tarihi : 05.08.2026</v>
      </c>
      <c r="F15" s="233"/>
      <c r="G15" s="233"/>
      <c r="H15" s="234"/>
    </row>
    <row r="16" spans="1:12" x14ac:dyDescent="0.25">
      <c r="A16" s="235" t="s">
        <v>265</v>
      </c>
      <c r="B16" s="236"/>
      <c r="C16" s="236"/>
      <c r="D16" s="236"/>
      <c r="E16" s="218" t="s">
        <v>2248</v>
      </c>
      <c r="F16" s="219"/>
      <c r="G16" s="219"/>
      <c r="H16" s="220"/>
      <c r="L16" s="20"/>
    </row>
    <row r="17" spans="1:8" ht="30" customHeight="1" x14ac:dyDescent="0.25">
      <c r="A17" s="54" t="s">
        <v>273</v>
      </c>
      <c r="B17" s="224"/>
      <c r="C17" s="224"/>
      <c r="D17" s="224"/>
      <c r="E17" s="237"/>
      <c r="F17" s="238"/>
      <c r="G17" s="238"/>
      <c r="H17" s="239"/>
    </row>
    <row r="18" spans="1:8" ht="45" customHeight="1" x14ac:dyDescent="0.25">
      <c r="A18" s="55" t="s">
        <v>274</v>
      </c>
      <c r="B18" s="224"/>
      <c r="C18" s="224"/>
      <c r="D18" s="224"/>
      <c r="E18" s="221"/>
      <c r="F18" s="222"/>
      <c r="G18" s="222"/>
      <c r="H18" s="223"/>
    </row>
    <row r="19" spans="1:8" ht="9.9499999999999993" customHeight="1" x14ac:dyDescent="0.25">
      <c r="A19" s="52"/>
      <c r="B19" s="52"/>
      <c r="C19" s="52"/>
      <c r="D19" s="52"/>
      <c r="E19" s="52"/>
      <c r="F19" s="52"/>
      <c r="G19" s="52"/>
      <c r="H19" s="52"/>
    </row>
    <row r="20" spans="1:8" x14ac:dyDescent="0.25">
      <c r="A20" s="240" t="s">
        <v>275</v>
      </c>
      <c r="B20" s="243" t="str">
        <f>IF(OR(B13="",B29=""),"","        Kimliği yukarıda yer alan personelimizin, yıllık ücretli izin hakkını "&amp;TEXT(B13,"gg.aa.yyyy")&amp;" tarihinde ayrılmak ve "&amp;TEXT(B29,"gg.aa.yyyy")&amp;" tarihinde göreve başlamak kaydıyla kullanması uygundur.")</f>
        <v xml:space="preserve">        Kimliği yukarıda yer alan personelimizin, yıllık ücretli izin hakkını 05.08.2026 tarihinde ayrılmak ve 19.08.2026 tarihinde göreve başlamak kaydıyla kullanması uygundur.</v>
      </c>
      <c r="C20" s="244"/>
      <c r="D20" s="244"/>
      <c r="E20" s="244"/>
      <c r="F20" s="244"/>
      <c r="G20" s="244"/>
      <c r="H20" s="244"/>
    </row>
    <row r="21" spans="1:8" x14ac:dyDescent="0.25">
      <c r="A21" s="241"/>
      <c r="B21" s="245"/>
      <c r="C21" s="245"/>
      <c r="D21" s="245"/>
      <c r="E21" s="245"/>
      <c r="F21" s="245"/>
      <c r="G21" s="245"/>
      <c r="H21" s="245"/>
    </row>
    <row r="22" spans="1:8" x14ac:dyDescent="0.25">
      <c r="A22" s="242"/>
      <c r="B22" s="246"/>
      <c r="C22" s="246"/>
      <c r="D22" s="246"/>
      <c r="E22" s="246"/>
      <c r="F22" s="246"/>
      <c r="G22" s="246"/>
      <c r="H22" s="246"/>
    </row>
    <row r="23" spans="1:8" ht="9.9499999999999993" customHeight="1" x14ac:dyDescent="0.25">
      <c r="A23" s="52"/>
      <c r="B23" s="52"/>
      <c r="C23" s="52"/>
      <c r="D23" s="52"/>
      <c r="E23" s="52"/>
      <c r="F23" s="52"/>
      <c r="G23" s="52"/>
      <c r="H23" s="52"/>
    </row>
    <row r="24" spans="1:8" x14ac:dyDescent="0.25">
      <c r="A24" s="224" t="s">
        <v>276</v>
      </c>
      <c r="B24" s="224"/>
      <c r="C24" s="224" t="s">
        <v>276</v>
      </c>
      <c r="D24" s="224"/>
      <c r="E24" s="224"/>
      <c r="F24" s="224" t="s">
        <v>276</v>
      </c>
      <c r="G24" s="224"/>
      <c r="H24" s="224"/>
    </row>
    <row r="25" spans="1:8" ht="30" customHeight="1" x14ac:dyDescent="0.25">
      <c r="A25" s="225" t="s">
        <v>214</v>
      </c>
      <c r="B25" s="225"/>
      <c r="C25" s="225" t="s">
        <v>277</v>
      </c>
      <c r="D25" s="225"/>
      <c r="E25" s="225"/>
      <c r="F25" s="225" t="s">
        <v>278</v>
      </c>
      <c r="G25" s="225"/>
      <c r="H25" s="225"/>
    </row>
    <row r="26" spans="1:8" x14ac:dyDescent="0.25">
      <c r="A26" s="224" t="s">
        <v>279</v>
      </c>
      <c r="B26" s="224"/>
      <c r="C26" s="224" t="s">
        <v>279</v>
      </c>
      <c r="D26" s="224"/>
      <c r="E26" s="224"/>
      <c r="F26" s="224" t="s">
        <v>279</v>
      </c>
      <c r="G26" s="224"/>
      <c r="H26" s="224"/>
    </row>
    <row r="27" spans="1:8" ht="84.95" customHeight="1" x14ac:dyDescent="0.25">
      <c r="A27" s="224"/>
      <c r="B27" s="224"/>
      <c r="C27" s="224"/>
      <c r="D27" s="224"/>
      <c r="E27" s="224"/>
      <c r="F27" s="224"/>
      <c r="G27" s="224"/>
      <c r="H27" s="224"/>
    </row>
    <row r="28" spans="1:8" ht="30" customHeight="1" x14ac:dyDescent="0.25">
      <c r="A28" s="209" t="str">
        <f>IF(OR(B13="", B14=""), "", " Ücretli izin hakkımı " &amp; TEXT(B13, "gg.aa.yyyy") &amp; " Tarihi ile " &amp; TEXT(B14, "gg.aa.yyyy") &amp; " Tarihleri arasında kullandım.")</f>
        <v xml:space="preserve"> Ücretli izin hakkımı 05.08.2026 Tarihi ile 18.08.2026 Tarihleri arasında kullandım.</v>
      </c>
      <c r="B28" s="210"/>
      <c r="C28" s="210"/>
      <c r="D28" s="210"/>
      <c r="E28" s="210"/>
      <c r="F28" s="210"/>
      <c r="G28" s="210"/>
      <c r="H28" s="211"/>
    </row>
    <row r="29" spans="1:8" ht="15" customHeight="1" x14ac:dyDescent="0.25">
      <c r="A29" s="212" t="s">
        <v>280</v>
      </c>
      <c r="B29" s="214">
        <f>IF(B14="", "", WORKDAY.INTL(B14, 1, 1, Tatiller!$A$2:$A$100))</f>
        <v>46253</v>
      </c>
      <c r="C29" s="214"/>
      <c r="D29" s="215"/>
      <c r="E29" s="218" t="s">
        <v>2248</v>
      </c>
      <c r="F29" s="219"/>
      <c r="G29" s="219"/>
      <c r="H29" s="220"/>
    </row>
    <row r="30" spans="1:8" ht="75" customHeight="1" x14ac:dyDescent="0.25">
      <c r="A30" s="213"/>
      <c r="B30" s="216"/>
      <c r="C30" s="216"/>
      <c r="D30" s="217"/>
      <c r="E30" s="221"/>
      <c r="F30" s="222"/>
      <c r="G30" s="222"/>
      <c r="H30" s="223"/>
    </row>
  </sheetData>
  <mergeCells count="43">
    <mergeCell ref="A1:A5"/>
    <mergeCell ref="B1:D5"/>
    <mergeCell ref="E1:G1"/>
    <mergeCell ref="E2:G2"/>
    <mergeCell ref="E3:G3"/>
    <mergeCell ref="E4:G4"/>
    <mergeCell ref="E5:G5"/>
    <mergeCell ref="A7:D7"/>
    <mergeCell ref="E7:H7"/>
    <mergeCell ref="B8:D8"/>
    <mergeCell ref="E8:H8"/>
    <mergeCell ref="B9:D9"/>
    <mergeCell ref="E9:H13"/>
    <mergeCell ref="B10:D10"/>
    <mergeCell ref="B11:D11"/>
    <mergeCell ref="B12:D12"/>
    <mergeCell ref="B13:D13"/>
    <mergeCell ref="A25:B25"/>
    <mergeCell ref="C25:E25"/>
    <mergeCell ref="F25:H25"/>
    <mergeCell ref="B14:D14"/>
    <mergeCell ref="E14:H14"/>
    <mergeCell ref="B15:D15"/>
    <mergeCell ref="E15:H15"/>
    <mergeCell ref="A16:D16"/>
    <mergeCell ref="E16:H18"/>
    <mergeCell ref="B17:D17"/>
    <mergeCell ref="B18:D18"/>
    <mergeCell ref="A20:A22"/>
    <mergeCell ref="B20:H22"/>
    <mergeCell ref="A24:B24"/>
    <mergeCell ref="C24:E24"/>
    <mergeCell ref="F24:H24"/>
    <mergeCell ref="A28:H28"/>
    <mergeCell ref="A29:A30"/>
    <mergeCell ref="B29:D30"/>
    <mergeCell ref="E29:H30"/>
    <mergeCell ref="A26:B26"/>
    <mergeCell ref="C26:E26"/>
    <mergeCell ref="F26:H26"/>
    <mergeCell ref="A27:B27"/>
    <mergeCell ref="C27:E27"/>
    <mergeCell ref="F27:H27"/>
  </mergeCells>
  <printOptions horizontalCentered="1"/>
  <pageMargins left="0.39370078740157483" right="0.39370078740157483" top="0.55118110236220474" bottom="0.55118110236220474" header="0.31496062992125984" footer="0.31496062992125984"/>
  <pageSetup paperSize="9" scale="86" fitToHeight="0" orientation="portrait"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793FF-A434-4806-9CBD-699B490FBA17}">
  <sheetPr codeName="Sayfa11">
    <pageSetUpPr fitToPage="1"/>
  </sheetPr>
  <dimension ref="A1:J20"/>
  <sheetViews>
    <sheetView workbookViewId="0">
      <selection sqref="A1:J1"/>
    </sheetView>
  </sheetViews>
  <sheetFormatPr defaultRowHeight="15" x14ac:dyDescent="0.25"/>
  <cols>
    <col min="1" max="5" width="9.140625" style="56"/>
    <col min="6" max="6" width="14.28515625" style="56" bestFit="1" customWidth="1"/>
    <col min="7" max="8" width="9.140625" style="56"/>
    <col min="9" max="9" width="4.5703125" style="56" customWidth="1"/>
    <col min="10" max="10" width="4.42578125" style="56" customWidth="1"/>
    <col min="11" max="16384" width="9.140625" style="56"/>
  </cols>
  <sheetData>
    <row r="1" spans="1:10" ht="18" x14ac:dyDescent="0.25">
      <c r="A1" s="280" t="s">
        <v>281</v>
      </c>
      <c r="B1" s="280"/>
      <c r="C1" s="280"/>
      <c r="D1" s="280"/>
      <c r="E1" s="280"/>
      <c r="F1" s="280"/>
      <c r="G1" s="280"/>
      <c r="H1" s="280"/>
      <c r="I1" s="280"/>
      <c r="J1" s="280"/>
    </row>
    <row r="5" spans="1:10" ht="30" customHeight="1" x14ac:dyDescent="0.25">
      <c r="A5" s="281" t="str">
        <f ca="1">"            MERKOTEKS TEKSTİL SAN. VE TİC. A.Ş. Unvanlı işyerinde " &amp; 'Ana Sayfa'!Z18 &amp; " TC Kimlik numarası ile " &amp; TEXT('Ana Sayfa'!U20, "GG.AA.YYYY") &amp; " tarihinden bu yana " &amp; 'Ana Sayfa'!U19 &amp; " departmanında çalışmaktayım."</f>
        <v xml:space="preserve">            MERKOTEKS TEKSTİL SAN. VE TİC. A.Ş. Unvanlı işyerinde 13508878460 TC Kimlik numarası ile 26.09.2022 tarihinden bu yana MODEL DİKİM departmanında çalışmaktayım.</v>
      </c>
      <c r="B5" s="281"/>
      <c r="C5" s="281"/>
      <c r="D5" s="281"/>
      <c r="E5" s="281"/>
      <c r="F5" s="281"/>
      <c r="G5" s="281"/>
      <c r="H5" s="281"/>
      <c r="I5" s="281"/>
      <c r="J5" s="281"/>
    </row>
    <row r="6" spans="1:10" ht="30" customHeight="1" x14ac:dyDescent="0.25">
      <c r="A6" s="281"/>
      <c r="B6" s="281"/>
      <c r="C6" s="281"/>
      <c r="D6" s="281"/>
      <c r="E6" s="281"/>
      <c r="F6" s="281"/>
      <c r="G6" s="281"/>
      <c r="H6" s="281"/>
      <c r="I6" s="281"/>
      <c r="J6" s="281"/>
    </row>
    <row r="7" spans="1:10" x14ac:dyDescent="0.25">
      <c r="A7" s="57"/>
      <c r="B7" s="57"/>
      <c r="C7" s="57"/>
      <c r="D7" s="57"/>
      <c r="E7" s="57"/>
      <c r="F7" s="57"/>
      <c r="G7" s="57"/>
      <c r="H7" s="57"/>
      <c r="I7" s="57"/>
      <c r="J7" s="57"/>
    </row>
    <row r="8" spans="1:10" ht="30" customHeight="1" x14ac:dyDescent="0.25">
      <c r="A8" s="281" t="str">
        <f ca="1">"İşverenlikten henüz yıllık ücretli izne hak kazanmamama rağmen " &amp; TEXT('Ana Sayfa'!AF20, "GG.AA.YYYY") &amp; " tarihinden itibaren " &amp; MAX(0, 'Ana Sayfa'!AB25 - 'Ana Sayfa'!U28) &amp; " günlük yıllık izin talep etmekteyim."</f>
        <v>İşverenlikten henüz yıllık ücretli izne hak kazanmamama rağmen 05.08.2026 tarihinden itibaren 19 günlük yıllık izin talep etmekteyim.</v>
      </c>
      <c r="B8" s="281"/>
      <c r="C8" s="281"/>
      <c r="D8" s="281"/>
      <c r="E8" s="281"/>
      <c r="F8" s="281"/>
      <c r="G8" s="281"/>
      <c r="H8" s="281"/>
      <c r="I8" s="281"/>
      <c r="J8" s="281"/>
    </row>
    <row r="9" spans="1:10" x14ac:dyDescent="0.25">
      <c r="A9" s="281"/>
      <c r="B9" s="281"/>
      <c r="C9" s="281"/>
      <c r="D9" s="281"/>
      <c r="E9" s="281"/>
      <c r="F9" s="281"/>
      <c r="G9" s="281"/>
      <c r="H9" s="281"/>
      <c r="I9" s="281"/>
      <c r="J9" s="281"/>
    </row>
    <row r="10" spans="1:10" x14ac:dyDescent="0.25">
      <c r="A10" s="57"/>
      <c r="B10" s="57"/>
      <c r="C10" s="57"/>
      <c r="D10" s="57"/>
      <c r="E10" s="57"/>
      <c r="F10" s="57"/>
      <c r="G10" s="57"/>
      <c r="H10" s="57"/>
      <c r="I10" s="57"/>
      <c r="J10" s="57"/>
    </row>
    <row r="11" spans="1:10" x14ac:dyDescent="0.25">
      <c r="A11" s="281" t="str">
        <f ca="1">"            Yıllık ücretli izne hak kazanacağım " &amp; TEXT('Ana Sayfa'!U22, "GG.AA.YYYY") &amp; " tarihinden önce işyerinden ayrılmam söz konusu olursa hak etmeden kullandığım " &amp; MAX(0, 'Ana Sayfa'!AB25 - 'Ana Sayfa'!U28) &amp; " günlük izne ait ücretin işten ayrılış sürecimde hak etmiş olduğum son ücretimden düşülmesine onay veriyorum."</f>
        <v xml:space="preserve">            Yıllık ücretli izne hak kazanacağım 26.09.2025 tarihinden önce işyerinden ayrılmam söz konusu olursa hak etmeden kullandığım 19 günlük izne ait ücretin işten ayrılış sürecimde hak etmiş olduğum son ücretimden düşülmesine onay veriyorum.</v>
      </c>
      <c r="B11" s="281"/>
      <c r="C11" s="281"/>
      <c r="D11" s="281"/>
      <c r="E11" s="281"/>
      <c r="F11" s="281"/>
      <c r="G11" s="281"/>
      <c r="H11" s="281"/>
      <c r="I11" s="281"/>
      <c r="J11" s="281"/>
    </row>
    <row r="12" spans="1:10" x14ac:dyDescent="0.25">
      <c r="A12" s="281"/>
      <c r="B12" s="281"/>
      <c r="C12" s="281"/>
      <c r="D12" s="281"/>
      <c r="E12" s="281"/>
      <c r="F12" s="281"/>
      <c r="G12" s="281"/>
      <c r="H12" s="281"/>
      <c r="I12" s="281"/>
      <c r="J12" s="281"/>
    </row>
    <row r="13" spans="1:10" x14ac:dyDescent="0.25">
      <c r="A13" s="281"/>
      <c r="B13" s="281"/>
      <c r="C13" s="281"/>
      <c r="D13" s="281"/>
      <c r="E13" s="281"/>
      <c r="F13" s="281"/>
      <c r="G13" s="281"/>
      <c r="H13" s="281"/>
      <c r="I13" s="281"/>
      <c r="J13" s="281"/>
    </row>
    <row r="16" spans="1:10" x14ac:dyDescent="0.25">
      <c r="F16" s="58"/>
      <c r="G16" s="58"/>
      <c r="H16" s="58"/>
      <c r="I16" s="58"/>
    </row>
    <row r="17" spans="6:9" ht="15.75" x14ac:dyDescent="0.25">
      <c r="F17" s="58" t="s">
        <v>282</v>
      </c>
      <c r="G17" s="64" t="str">
        <f>'Ana Sayfa'!U16</f>
        <v>ABBAS TORUN</v>
      </c>
      <c r="H17" s="58"/>
      <c r="I17" s="58"/>
    </row>
    <row r="18" spans="6:9" x14ac:dyDescent="0.25">
      <c r="F18" s="58"/>
      <c r="G18" s="58"/>
      <c r="H18" s="58"/>
      <c r="I18" s="58"/>
    </row>
    <row r="19" spans="6:9" x14ac:dyDescent="0.25">
      <c r="F19" s="58" t="s">
        <v>283</v>
      </c>
      <c r="G19" s="58"/>
      <c r="H19" s="58"/>
      <c r="I19" s="58"/>
    </row>
    <row r="20" spans="6:9" x14ac:dyDescent="0.25">
      <c r="F20" s="58"/>
      <c r="G20" s="58"/>
      <c r="H20" s="58"/>
      <c r="I20" s="58"/>
    </row>
  </sheetData>
  <mergeCells count="4">
    <mergeCell ref="A1:J1"/>
    <mergeCell ref="A5:J6"/>
    <mergeCell ref="A8:J9"/>
    <mergeCell ref="A11:J13"/>
  </mergeCell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73ADA-FDED-41A9-9BB7-4FC533EC0FBA}">
  <sheetPr codeName="Sayfa14">
    <pageSetUpPr fitToPage="1"/>
  </sheetPr>
  <dimension ref="A2:P24"/>
  <sheetViews>
    <sheetView workbookViewId="0">
      <pane ySplit="1" topLeftCell="A2" activePane="bottomLeft" state="frozen"/>
      <selection pane="bottomLeft"/>
    </sheetView>
  </sheetViews>
  <sheetFormatPr defaultRowHeight="15" x14ac:dyDescent="0.25"/>
  <cols>
    <col min="1" max="1" width="11.140625" customWidth="1"/>
    <col min="2" max="2" width="13" customWidth="1"/>
    <col min="3" max="4" width="9.7109375" customWidth="1"/>
    <col min="5" max="5" width="10.5703125" bestFit="1" customWidth="1"/>
    <col min="6" max="6" width="10.85546875" customWidth="1"/>
    <col min="7" max="8" width="9.7109375" customWidth="1"/>
    <col min="9" max="9" width="10.140625" bestFit="1" customWidth="1"/>
    <col min="10" max="10" width="10.7109375" customWidth="1"/>
    <col min="11" max="11" width="7.42578125" style="20" customWidth="1"/>
    <col min="12" max="12" width="6" customWidth="1"/>
    <col min="13" max="14" width="10.7109375" style="20" customWidth="1"/>
    <col min="15" max="15" width="10.7109375" customWidth="1"/>
    <col min="16" max="16" width="20.7109375" customWidth="1"/>
  </cols>
  <sheetData>
    <row r="2" spans="1:16" ht="23.25" customHeight="1" x14ac:dyDescent="0.25">
      <c r="A2" s="68" t="s">
        <v>2251</v>
      </c>
      <c r="C2" s="282" t="s">
        <v>2252</v>
      </c>
      <c r="D2" s="282"/>
      <c r="E2" s="282"/>
      <c r="F2" s="282"/>
      <c r="G2" s="282"/>
      <c r="H2" s="282"/>
      <c r="I2" s="282"/>
      <c r="J2" s="282"/>
      <c r="K2" s="282"/>
      <c r="L2" s="282"/>
      <c r="M2" s="282"/>
      <c r="N2" s="282"/>
      <c r="O2" s="282"/>
    </row>
    <row r="3" spans="1:16" ht="21.75" customHeight="1" x14ac:dyDescent="0.25">
      <c r="A3" t="s">
        <v>2253</v>
      </c>
      <c r="B3" s="283" t="s">
        <v>235</v>
      </c>
      <c r="C3" s="283"/>
      <c r="D3" s="283"/>
      <c r="E3" s="283"/>
      <c r="G3" t="s">
        <v>2254</v>
      </c>
      <c r="H3" s="69">
        <v>7325</v>
      </c>
      <c r="M3" s="284" t="s">
        <v>2255</v>
      </c>
      <c r="N3" s="284"/>
      <c r="O3" s="285">
        <v>45509</v>
      </c>
      <c r="P3" s="286"/>
    </row>
    <row r="4" spans="1:16" ht="10.5" customHeight="1" x14ac:dyDescent="0.25"/>
    <row r="5" spans="1:16" ht="33.75" customHeight="1" x14ac:dyDescent="0.25">
      <c r="A5" s="70"/>
      <c r="B5" s="71" t="s">
        <v>2256</v>
      </c>
      <c r="C5" s="72" t="s">
        <v>2257</v>
      </c>
      <c r="D5" s="73"/>
      <c r="E5" s="73"/>
      <c r="F5" s="73"/>
      <c r="G5" s="74"/>
      <c r="H5" s="75"/>
      <c r="I5" s="76"/>
      <c r="J5" s="77"/>
      <c r="K5" s="77"/>
      <c r="L5" s="77"/>
      <c r="M5" s="77"/>
      <c r="N5" s="77"/>
      <c r="O5" s="77"/>
      <c r="P5" s="77"/>
    </row>
    <row r="6" spans="1:16" x14ac:dyDescent="0.25">
      <c r="A6" s="78" t="s">
        <v>2258</v>
      </c>
      <c r="B6" s="79" t="s">
        <v>2259</v>
      </c>
      <c r="C6" s="77" t="s">
        <v>2260</v>
      </c>
      <c r="D6" s="77" t="s">
        <v>2261</v>
      </c>
      <c r="E6" s="77" t="s">
        <v>2262</v>
      </c>
      <c r="F6" s="77" t="s">
        <v>2263</v>
      </c>
      <c r="G6" s="77" t="s">
        <v>2264</v>
      </c>
      <c r="H6" s="77" t="s">
        <v>2265</v>
      </c>
      <c r="I6" s="80" t="s">
        <v>2266</v>
      </c>
      <c r="J6" s="81" t="s">
        <v>2267</v>
      </c>
      <c r="K6" s="81" t="s">
        <v>2268</v>
      </c>
      <c r="L6" s="81" t="s">
        <v>2269</v>
      </c>
      <c r="M6" s="81" t="s">
        <v>2270</v>
      </c>
      <c r="N6" s="81" t="s">
        <v>2271</v>
      </c>
      <c r="O6" s="81"/>
      <c r="P6" s="81" t="s">
        <v>2272</v>
      </c>
    </row>
    <row r="7" spans="1:16" x14ac:dyDescent="0.25">
      <c r="A7" s="78"/>
      <c r="B7" s="79" t="s">
        <v>2273</v>
      </c>
      <c r="C7" s="81" t="s">
        <v>2274</v>
      </c>
      <c r="D7" s="81" t="s">
        <v>2274</v>
      </c>
      <c r="E7" s="81" t="s">
        <v>2275</v>
      </c>
      <c r="F7" s="81" t="s">
        <v>2274</v>
      </c>
      <c r="G7" s="81" t="s">
        <v>2276</v>
      </c>
      <c r="H7" s="81" t="s">
        <v>2277</v>
      </c>
      <c r="I7" s="80" t="s">
        <v>2278</v>
      </c>
      <c r="J7" s="81" t="s">
        <v>2279</v>
      </c>
      <c r="K7" s="81" t="s">
        <v>2280</v>
      </c>
      <c r="L7" s="81" t="s">
        <v>2281</v>
      </c>
      <c r="M7" s="81" t="s">
        <v>2282</v>
      </c>
      <c r="N7" s="81" t="s">
        <v>2283</v>
      </c>
      <c r="O7" s="81" t="s">
        <v>2284</v>
      </c>
      <c r="P7" s="81" t="s">
        <v>2285</v>
      </c>
    </row>
    <row r="8" spans="1:16" x14ac:dyDescent="0.25">
      <c r="A8" s="78"/>
      <c r="B8" s="79" t="s">
        <v>2286</v>
      </c>
      <c r="C8" s="81"/>
      <c r="D8" s="81"/>
      <c r="E8" s="81" t="s">
        <v>2274</v>
      </c>
      <c r="F8" s="81"/>
      <c r="G8" s="81" t="s">
        <v>2274</v>
      </c>
      <c r="H8" s="81" t="s">
        <v>2274</v>
      </c>
      <c r="I8" s="80" t="s">
        <v>2286</v>
      </c>
      <c r="J8" s="81"/>
      <c r="K8" s="81"/>
      <c r="L8" s="81"/>
      <c r="M8" s="81" t="s">
        <v>2286</v>
      </c>
      <c r="N8" s="81" t="s">
        <v>2287</v>
      </c>
      <c r="O8" s="81"/>
      <c r="P8" s="81"/>
    </row>
    <row r="9" spans="1:16" ht="36" customHeight="1" x14ac:dyDescent="0.25">
      <c r="A9" s="82">
        <v>2025</v>
      </c>
      <c r="B9" s="74"/>
      <c r="C9" s="73"/>
      <c r="D9" s="73"/>
      <c r="E9" s="73"/>
      <c r="F9" s="73"/>
      <c r="G9" s="73"/>
      <c r="H9" s="73"/>
      <c r="I9" s="121">
        <v>45874</v>
      </c>
      <c r="J9" s="73" t="s">
        <v>2503</v>
      </c>
      <c r="K9" s="73">
        <v>0.5</v>
      </c>
      <c r="L9" s="73"/>
      <c r="M9" s="83">
        <v>45593</v>
      </c>
      <c r="N9" s="83">
        <v>45595</v>
      </c>
      <c r="O9" s="84"/>
      <c r="P9" s="85"/>
    </row>
    <row r="10" spans="1:16" ht="36" customHeight="1" x14ac:dyDescent="0.25">
      <c r="A10" s="82">
        <v>2025</v>
      </c>
      <c r="B10" s="74"/>
      <c r="C10" s="73"/>
      <c r="D10" s="73"/>
      <c r="E10" s="73"/>
      <c r="F10" s="73"/>
      <c r="G10" s="73"/>
      <c r="H10" s="73"/>
      <c r="I10" s="121">
        <v>45874</v>
      </c>
      <c r="J10" s="73" t="s">
        <v>2503</v>
      </c>
      <c r="K10" s="73">
        <v>3</v>
      </c>
      <c r="L10" s="73"/>
      <c r="M10" s="83">
        <v>45749</v>
      </c>
      <c r="N10" s="83">
        <v>45754</v>
      </c>
      <c r="O10" s="84"/>
      <c r="P10" s="85"/>
    </row>
    <row r="11" spans="1:16" ht="36" customHeight="1" x14ac:dyDescent="0.25">
      <c r="A11" s="82">
        <v>2025</v>
      </c>
      <c r="B11" s="74"/>
      <c r="C11" s="73"/>
      <c r="D11" s="73"/>
      <c r="E11" s="73"/>
      <c r="F11" s="73"/>
      <c r="G11" s="73"/>
      <c r="H11" s="73"/>
      <c r="I11" s="121">
        <v>45874</v>
      </c>
      <c r="J11" s="73" t="s">
        <v>2503</v>
      </c>
      <c r="K11" s="73">
        <v>0.5</v>
      </c>
      <c r="L11" s="73"/>
      <c r="M11" s="83">
        <v>45813</v>
      </c>
      <c r="N11" s="83">
        <v>45818</v>
      </c>
      <c r="O11" s="84"/>
      <c r="P11" s="85"/>
    </row>
    <row r="12" spans="1:16" ht="36" customHeight="1" x14ac:dyDescent="0.25">
      <c r="A12" s="82">
        <v>2025</v>
      </c>
      <c r="B12" s="74"/>
      <c r="C12" s="73"/>
      <c r="D12" s="73"/>
      <c r="E12" s="73"/>
      <c r="F12" s="73"/>
      <c r="G12" s="73"/>
      <c r="H12" s="73"/>
      <c r="I12" s="121">
        <v>45874</v>
      </c>
      <c r="J12" s="73" t="s">
        <v>2503</v>
      </c>
      <c r="K12" s="73">
        <v>9</v>
      </c>
      <c r="L12" s="73"/>
      <c r="M12" s="83">
        <v>45877</v>
      </c>
      <c r="N12" s="83">
        <v>45890</v>
      </c>
      <c r="O12" s="84"/>
      <c r="P12" s="85"/>
    </row>
    <row r="13" spans="1:16" ht="36" customHeight="1" x14ac:dyDescent="0.25">
      <c r="A13" s="82">
        <v>2025</v>
      </c>
      <c r="B13" s="74"/>
      <c r="C13" s="73"/>
      <c r="D13" s="73"/>
      <c r="E13" s="73"/>
      <c r="F13" s="73"/>
      <c r="G13" s="73"/>
      <c r="H13" s="73"/>
      <c r="I13" s="121">
        <v>45874</v>
      </c>
      <c r="J13" s="73" t="s">
        <v>2503</v>
      </c>
      <c r="K13" s="73">
        <v>1</v>
      </c>
      <c r="L13" s="73"/>
      <c r="M13" s="83">
        <v>46024</v>
      </c>
      <c r="N13" s="83">
        <v>46027</v>
      </c>
      <c r="O13" s="84"/>
      <c r="P13" s="85"/>
    </row>
    <row r="14" spans="1:16" ht="36" customHeight="1" x14ac:dyDescent="0.25">
      <c r="A14" s="82">
        <v>2026</v>
      </c>
      <c r="B14" s="74"/>
      <c r="C14" s="73"/>
      <c r="D14" s="73"/>
      <c r="E14" s="73"/>
      <c r="F14" s="73"/>
      <c r="G14" s="73"/>
      <c r="H14" s="73"/>
      <c r="I14" s="121">
        <v>46239</v>
      </c>
      <c r="J14" s="73" t="s">
        <v>2504</v>
      </c>
      <c r="K14" s="73">
        <v>1.5</v>
      </c>
      <c r="L14" s="73"/>
      <c r="M14" s="83">
        <v>46167</v>
      </c>
      <c r="N14" s="83">
        <v>46174</v>
      </c>
      <c r="O14" s="84"/>
      <c r="P14" s="85"/>
    </row>
    <row r="15" spans="1:16" ht="36" customHeight="1" x14ac:dyDescent="0.25">
      <c r="A15" s="82">
        <v>2026</v>
      </c>
      <c r="B15" s="74"/>
      <c r="C15" s="73"/>
      <c r="D15" s="73"/>
      <c r="E15" s="73"/>
      <c r="F15" s="73"/>
      <c r="G15" s="73"/>
      <c r="H15" s="73"/>
      <c r="I15" s="121">
        <v>46239</v>
      </c>
      <c r="J15" s="73" t="s">
        <v>2504</v>
      </c>
      <c r="K15" s="73">
        <v>10</v>
      </c>
      <c r="L15" s="73"/>
      <c r="M15" s="83">
        <v>46239</v>
      </c>
      <c r="N15" s="83">
        <v>46253</v>
      </c>
      <c r="O15" s="84"/>
      <c r="P15" s="85"/>
    </row>
    <row r="16" spans="1:16" ht="36" customHeight="1" x14ac:dyDescent="0.25">
      <c r="A16" s="82"/>
      <c r="B16" s="74"/>
      <c r="C16" s="73"/>
      <c r="D16" s="73"/>
      <c r="E16" s="73"/>
      <c r="F16" s="73"/>
      <c r="G16" s="73"/>
      <c r="H16" s="73"/>
      <c r="I16" s="121"/>
      <c r="J16" s="73"/>
      <c r="K16" s="73"/>
      <c r="L16" s="73"/>
      <c r="M16" s="83"/>
      <c r="N16" s="83"/>
      <c r="O16" s="84"/>
      <c r="P16" s="85"/>
    </row>
    <row r="17" spans="1:16" ht="36" customHeight="1" x14ac:dyDescent="0.25">
      <c r="A17" s="82"/>
      <c r="B17" s="74"/>
      <c r="C17" s="73"/>
      <c r="D17" s="73"/>
      <c r="E17" s="73"/>
      <c r="F17" s="73"/>
      <c r="G17" s="73"/>
      <c r="H17" s="73"/>
      <c r="I17" s="121"/>
      <c r="J17" s="73"/>
      <c r="K17" s="73"/>
      <c r="L17" s="73"/>
      <c r="M17" s="83"/>
      <c r="N17" s="83"/>
      <c r="O17" s="84"/>
      <c r="P17" s="85"/>
    </row>
    <row r="18" spans="1:16" ht="36" customHeight="1" x14ac:dyDescent="0.25">
      <c r="A18" s="82"/>
      <c r="B18" s="74"/>
      <c r="C18" s="73"/>
      <c r="D18" s="73"/>
      <c r="E18" s="73"/>
      <c r="F18" s="73"/>
      <c r="G18" s="73"/>
      <c r="H18" s="73"/>
      <c r="I18" s="121"/>
      <c r="J18" s="73"/>
      <c r="K18" s="73"/>
      <c r="L18" s="73"/>
      <c r="M18" s="83"/>
      <c r="N18" s="83"/>
      <c r="O18" s="84"/>
      <c r="P18" s="85"/>
    </row>
    <row r="19" spans="1:16" ht="36" customHeight="1" x14ac:dyDescent="0.25">
      <c r="A19" s="82"/>
      <c r="B19" s="74"/>
      <c r="C19" s="73"/>
      <c r="D19" s="73"/>
      <c r="E19" s="73"/>
      <c r="F19" s="73"/>
      <c r="G19" s="73"/>
      <c r="H19" s="73"/>
      <c r="I19" s="121"/>
      <c r="J19" s="73"/>
      <c r="K19" s="73"/>
      <c r="L19" s="73"/>
      <c r="M19" s="83"/>
      <c r="N19" s="83"/>
      <c r="O19" s="84"/>
      <c r="P19" s="85"/>
    </row>
    <row r="20" spans="1:16" ht="36" customHeight="1" x14ac:dyDescent="0.25">
      <c r="A20" s="82"/>
      <c r="B20" s="74"/>
      <c r="C20" s="73"/>
      <c r="D20" s="73"/>
      <c r="E20" s="73"/>
      <c r="F20" s="73"/>
      <c r="G20" s="73"/>
      <c r="H20" s="73"/>
      <c r="I20" s="121"/>
      <c r="J20" s="73"/>
      <c r="K20" s="73"/>
      <c r="L20" s="73"/>
      <c r="M20" s="83"/>
      <c r="N20" s="83"/>
      <c r="O20" s="84"/>
      <c r="P20" s="85"/>
    </row>
    <row r="21" spans="1:16" x14ac:dyDescent="0.25">
      <c r="A21" s="20"/>
      <c r="B21" s="20"/>
      <c r="C21" s="20"/>
      <c r="D21" s="20"/>
      <c r="E21" s="20"/>
      <c r="F21" s="20"/>
      <c r="G21" s="20"/>
      <c r="H21" s="20"/>
      <c r="I21" s="20"/>
      <c r="J21" s="20"/>
      <c r="L21" s="20"/>
      <c r="N21" s="86"/>
    </row>
    <row r="22" spans="1:16" x14ac:dyDescent="0.25">
      <c r="A22" s="87" t="s">
        <v>2288</v>
      </c>
      <c r="B22" s="20"/>
      <c r="C22" s="20"/>
      <c r="D22" s="20"/>
      <c r="E22" s="20"/>
      <c r="F22" s="20"/>
      <c r="G22" s="20"/>
      <c r="H22" s="20"/>
      <c r="I22" s="20"/>
      <c r="J22" s="20"/>
      <c r="L22" s="20"/>
      <c r="N22" s="86"/>
    </row>
    <row r="23" spans="1:16" x14ac:dyDescent="0.25">
      <c r="A23" s="20"/>
      <c r="B23" s="20"/>
      <c r="C23" s="20"/>
      <c r="D23" s="20"/>
      <c r="E23" s="20"/>
      <c r="F23" s="20"/>
      <c r="G23" s="20"/>
      <c r="H23" s="20"/>
      <c r="I23" s="20"/>
      <c r="J23" s="20"/>
      <c r="L23" s="20"/>
      <c r="N23" s="86"/>
    </row>
    <row r="24" spans="1:16" x14ac:dyDescent="0.25">
      <c r="A24" s="20"/>
      <c r="B24" s="20"/>
      <c r="C24" s="20"/>
      <c r="D24" s="20"/>
      <c r="E24" s="20"/>
      <c r="F24" s="20"/>
      <c r="G24" s="20"/>
      <c r="H24" s="20"/>
      <c r="I24" s="20"/>
      <c r="J24" s="20"/>
      <c r="L24" s="20"/>
    </row>
  </sheetData>
  <mergeCells count="4">
    <mergeCell ref="C2:O2"/>
    <mergeCell ref="B3:E3"/>
    <mergeCell ref="M3:N3"/>
    <mergeCell ref="O3:P3"/>
  </mergeCells>
  <printOptions horizontalCentered="1" verticalCentered="1"/>
  <pageMargins left="0.39370078740157483" right="0.39370078740157483" top="0.55118110236220474" bottom="0.35433070866141736" header="0.31496062992125984" footer="0.31496062992125984"/>
  <pageSetup paperSize="9" scale="81" fitToHeight="0" orientation="landscape"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A1294-CB4F-440A-BC52-FD464686A436}">
  <sheetPr codeName="Sayfa15"/>
  <dimension ref="A1:E23"/>
  <sheetViews>
    <sheetView workbookViewId="0">
      <selection sqref="A1:XFD1048576"/>
    </sheetView>
  </sheetViews>
  <sheetFormatPr defaultRowHeight="15" x14ac:dyDescent="0.25"/>
  <cols>
    <col min="1" max="1" width="5.85546875" style="87" bestFit="1" customWidth="1"/>
    <col min="2" max="3" width="16.7109375" style="20" customWidth="1"/>
    <col min="4" max="4" width="9.140625" style="20"/>
    <col min="5" max="5" width="86.5703125" customWidth="1"/>
  </cols>
  <sheetData>
    <row r="1" spans="1:5" ht="15.75" x14ac:dyDescent="0.25">
      <c r="A1" s="136" t="s">
        <v>2402</v>
      </c>
      <c r="B1" s="137" t="s">
        <v>246</v>
      </c>
      <c r="C1" s="137" t="s">
        <v>247</v>
      </c>
      <c r="D1" s="137" t="s">
        <v>1010</v>
      </c>
      <c r="E1" s="137" t="s">
        <v>2403</v>
      </c>
    </row>
    <row r="2" spans="1:5" x14ac:dyDescent="0.25">
      <c r="A2" s="138">
        <v>1</v>
      </c>
      <c r="B2" s="139">
        <v>42975</v>
      </c>
      <c r="C2" s="139">
        <v>42976</v>
      </c>
      <c r="D2" s="73">
        <v>2</v>
      </c>
      <c r="E2" s="85" t="s">
        <v>2404</v>
      </c>
    </row>
    <row r="3" spans="1:5" x14ac:dyDescent="0.25">
      <c r="A3" s="138">
        <v>2</v>
      </c>
      <c r="B3" s="139">
        <v>43465</v>
      </c>
      <c r="C3" s="139">
        <v>43465</v>
      </c>
      <c r="D3" s="73">
        <v>1</v>
      </c>
      <c r="E3" s="85" t="s">
        <v>2405</v>
      </c>
    </row>
    <row r="4" spans="1:5" x14ac:dyDescent="0.25">
      <c r="A4" s="138">
        <v>3</v>
      </c>
      <c r="B4" s="139">
        <v>43623</v>
      </c>
      <c r="C4" s="139">
        <v>43624</v>
      </c>
      <c r="D4" s="73">
        <v>2</v>
      </c>
      <c r="E4" s="85" t="s">
        <v>2406</v>
      </c>
    </row>
    <row r="5" spans="1:5" x14ac:dyDescent="0.25">
      <c r="A5" s="138">
        <v>4</v>
      </c>
      <c r="B5" s="139">
        <v>43766</v>
      </c>
      <c r="C5" s="139">
        <v>43766</v>
      </c>
      <c r="D5" s="73">
        <v>1</v>
      </c>
      <c r="E5" s="85" t="s">
        <v>2407</v>
      </c>
    </row>
    <row r="6" spans="1:5" x14ac:dyDescent="0.25">
      <c r="A6" s="138">
        <v>5</v>
      </c>
      <c r="B6" s="139">
        <v>44393</v>
      </c>
      <c r="C6" s="139">
        <v>44393</v>
      </c>
      <c r="D6" s="73">
        <v>1</v>
      </c>
      <c r="E6" s="85" t="s">
        <v>2408</v>
      </c>
    </row>
    <row r="7" spans="1:5" x14ac:dyDescent="0.25">
      <c r="A7" s="138">
        <v>6</v>
      </c>
      <c r="B7" s="139">
        <v>44396</v>
      </c>
      <c r="C7" s="139">
        <v>44396</v>
      </c>
      <c r="D7" s="73">
        <v>1</v>
      </c>
      <c r="E7" s="85" t="s">
        <v>2409</v>
      </c>
    </row>
    <row r="8" spans="1:5" x14ac:dyDescent="0.25">
      <c r="A8" s="138">
        <v>7</v>
      </c>
      <c r="B8" s="139">
        <v>44686</v>
      </c>
      <c r="C8" s="139">
        <v>44687</v>
      </c>
      <c r="D8" s="73">
        <v>2</v>
      </c>
      <c r="E8" s="85" t="s">
        <v>2406</v>
      </c>
    </row>
    <row r="9" spans="1:5" x14ac:dyDescent="0.25">
      <c r="A9" s="138">
        <v>8</v>
      </c>
      <c r="B9" s="139">
        <v>44755</v>
      </c>
      <c r="C9" s="139">
        <v>44756</v>
      </c>
      <c r="D9" s="73">
        <v>2</v>
      </c>
      <c r="E9" s="85" t="s">
        <v>2410</v>
      </c>
    </row>
    <row r="10" spans="1:5" x14ac:dyDescent="0.25">
      <c r="A10" s="138">
        <v>9</v>
      </c>
      <c r="B10" s="139">
        <v>45103</v>
      </c>
      <c r="C10" s="139">
        <v>45104</v>
      </c>
      <c r="D10" s="73">
        <v>2</v>
      </c>
      <c r="E10" s="85" t="s">
        <v>2411</v>
      </c>
    </row>
    <row r="11" spans="1:5" x14ac:dyDescent="0.25">
      <c r="A11" s="138">
        <v>10</v>
      </c>
      <c r="B11" s="139">
        <v>45390</v>
      </c>
      <c r="C11" s="139">
        <v>45391</v>
      </c>
      <c r="D11" s="73">
        <v>1.5</v>
      </c>
      <c r="E11" s="85" t="s">
        <v>2412</v>
      </c>
    </row>
    <row r="12" spans="1:5" x14ac:dyDescent="0.25">
      <c r="A12" s="138">
        <v>11</v>
      </c>
      <c r="B12" s="139">
        <v>45463</v>
      </c>
      <c r="C12" s="139">
        <v>45464</v>
      </c>
      <c r="D12" s="73">
        <v>2</v>
      </c>
      <c r="E12" s="85" t="s">
        <v>2410</v>
      </c>
    </row>
    <row r="13" spans="1:5" x14ac:dyDescent="0.25">
      <c r="A13" s="138">
        <v>12</v>
      </c>
      <c r="B13" s="139">
        <v>45593</v>
      </c>
      <c r="C13" s="139">
        <v>45593</v>
      </c>
      <c r="D13" s="73">
        <v>0.5</v>
      </c>
      <c r="E13" s="85" t="s">
        <v>2413</v>
      </c>
    </row>
    <row r="14" spans="1:5" x14ac:dyDescent="0.25">
      <c r="A14" s="138">
        <v>13</v>
      </c>
      <c r="B14" s="139">
        <v>45749</v>
      </c>
      <c r="C14" s="139">
        <v>45751</v>
      </c>
      <c r="D14" s="73">
        <v>3</v>
      </c>
      <c r="E14" s="85" t="s">
        <v>2406</v>
      </c>
    </row>
    <row r="15" spans="1:5" x14ac:dyDescent="0.25">
      <c r="A15" s="138">
        <v>14</v>
      </c>
      <c r="B15" s="139">
        <v>45813</v>
      </c>
      <c r="C15" s="139">
        <v>45813</v>
      </c>
      <c r="D15" s="73">
        <v>0.5</v>
      </c>
      <c r="E15" s="85" t="s">
        <v>2414</v>
      </c>
    </row>
    <row r="16" spans="1:5" x14ac:dyDescent="0.25">
      <c r="A16" s="138">
        <v>15</v>
      </c>
      <c r="B16" s="139">
        <v>46024</v>
      </c>
      <c r="C16" s="139">
        <v>46024</v>
      </c>
      <c r="D16" s="73">
        <v>1</v>
      </c>
      <c r="E16" s="85" t="s">
        <v>2415</v>
      </c>
    </row>
    <row r="17" spans="1:5" x14ac:dyDescent="0.25">
      <c r="A17" s="138">
        <v>16</v>
      </c>
      <c r="B17" s="139">
        <v>46167</v>
      </c>
      <c r="C17" s="139">
        <v>46168</v>
      </c>
      <c r="D17" s="73">
        <v>1.5</v>
      </c>
      <c r="E17" s="85" t="s">
        <v>2416</v>
      </c>
    </row>
    <row r="18" spans="1:5" x14ac:dyDescent="0.25">
      <c r="A18" s="138">
        <v>17</v>
      </c>
      <c r="B18" s="73"/>
      <c r="C18" s="73"/>
      <c r="D18" s="73"/>
      <c r="E18" s="85"/>
    </row>
    <row r="19" spans="1:5" x14ac:dyDescent="0.25">
      <c r="A19" s="138">
        <v>18</v>
      </c>
      <c r="B19" s="73"/>
      <c r="C19" s="73"/>
      <c r="D19" s="73"/>
      <c r="E19" s="85"/>
    </row>
    <row r="20" spans="1:5" x14ac:dyDescent="0.25">
      <c r="A20" s="138">
        <v>19</v>
      </c>
      <c r="B20" s="73"/>
      <c r="C20" s="73"/>
      <c r="D20" s="73"/>
      <c r="E20" s="85"/>
    </row>
    <row r="21" spans="1:5" x14ac:dyDescent="0.25">
      <c r="A21" s="138">
        <v>20</v>
      </c>
      <c r="B21" s="73"/>
      <c r="C21" s="73"/>
      <c r="D21" s="73"/>
      <c r="E21" s="85"/>
    </row>
    <row r="22" spans="1:5" x14ac:dyDescent="0.25">
      <c r="A22" s="138">
        <v>21</v>
      </c>
      <c r="B22" s="73"/>
      <c r="C22" s="73"/>
      <c r="D22" s="73"/>
      <c r="E22" s="85"/>
    </row>
    <row r="23" spans="1:5" x14ac:dyDescent="0.25">
      <c r="A23" s="138">
        <v>22</v>
      </c>
      <c r="B23" s="73"/>
      <c r="C23" s="73"/>
      <c r="D23" s="73"/>
      <c r="E23" s="85"/>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22B5D-2497-42ED-9FFB-2B8A899D5FEE}">
  <sheetPr codeName="Sayfa4"/>
  <dimension ref="A1:C596"/>
  <sheetViews>
    <sheetView zoomScale="110" zoomScaleNormal="110" workbookViewId="0">
      <selection activeCell="AC44" sqref="AC44"/>
    </sheetView>
  </sheetViews>
  <sheetFormatPr defaultColWidth="3.5703125" defaultRowHeight="15" x14ac:dyDescent="0.25"/>
  <cols>
    <col min="1" max="1" width="16.42578125" style="91" customWidth="1"/>
    <col min="2" max="2" width="42.28515625" style="1" customWidth="1"/>
    <col min="3" max="3" width="7.5703125" style="1" customWidth="1"/>
    <col min="4" max="10" width="3.5703125" style="1" customWidth="1"/>
    <col min="11" max="16384" width="3.5703125" style="1"/>
  </cols>
  <sheetData>
    <row r="1" spans="1:3" x14ac:dyDescent="0.25">
      <c r="A1" s="89" t="s">
        <v>0</v>
      </c>
      <c r="B1" s="40" t="s">
        <v>14</v>
      </c>
      <c r="C1" s="41" t="s">
        <v>256</v>
      </c>
    </row>
    <row r="2" spans="1:3" x14ac:dyDescent="0.25">
      <c r="A2" s="90">
        <v>46023</v>
      </c>
      <c r="B2" s="42" t="s">
        <v>15</v>
      </c>
      <c r="C2" s="44">
        <v>1</v>
      </c>
    </row>
    <row r="3" spans="1:3" x14ac:dyDescent="0.25">
      <c r="A3" s="90">
        <v>46100</v>
      </c>
      <c r="B3" s="42" t="s">
        <v>248</v>
      </c>
      <c r="C3" s="43">
        <v>0.5</v>
      </c>
    </row>
    <row r="4" spans="1:3" x14ac:dyDescent="0.25">
      <c r="A4" s="90">
        <v>46101</v>
      </c>
      <c r="B4" s="42" t="s">
        <v>249</v>
      </c>
      <c r="C4" s="44">
        <v>1</v>
      </c>
    </row>
    <row r="5" spans="1:3" x14ac:dyDescent="0.25">
      <c r="A5" s="90">
        <v>46102</v>
      </c>
      <c r="B5" s="42" t="s">
        <v>250</v>
      </c>
      <c r="C5" s="44">
        <v>1</v>
      </c>
    </row>
    <row r="6" spans="1:3" x14ac:dyDescent="0.25">
      <c r="A6" s="90">
        <v>46103</v>
      </c>
      <c r="B6" s="42" t="s">
        <v>251</v>
      </c>
      <c r="C6" s="44">
        <v>1</v>
      </c>
    </row>
    <row r="7" spans="1:3" x14ac:dyDescent="0.25">
      <c r="A7" s="90">
        <v>46135</v>
      </c>
      <c r="B7" s="42" t="s">
        <v>16</v>
      </c>
      <c r="C7" s="44">
        <v>1</v>
      </c>
    </row>
    <row r="8" spans="1:3" x14ac:dyDescent="0.25">
      <c r="A8" s="90">
        <v>46143</v>
      </c>
      <c r="B8" s="42" t="s">
        <v>17</v>
      </c>
      <c r="C8" s="44">
        <v>1</v>
      </c>
    </row>
    <row r="9" spans="1:3" x14ac:dyDescent="0.25">
      <c r="A9" s="90">
        <v>46161</v>
      </c>
      <c r="B9" s="42" t="s">
        <v>18</v>
      </c>
      <c r="C9" s="44">
        <v>1</v>
      </c>
    </row>
    <row r="10" spans="1:3" x14ac:dyDescent="0.25">
      <c r="A10" s="90">
        <v>46168</v>
      </c>
      <c r="B10" s="42" t="s">
        <v>248</v>
      </c>
      <c r="C10" s="43">
        <v>0.5</v>
      </c>
    </row>
    <row r="11" spans="1:3" x14ac:dyDescent="0.25">
      <c r="A11" s="90">
        <v>46169</v>
      </c>
      <c r="B11" s="42" t="s">
        <v>252</v>
      </c>
      <c r="C11" s="44">
        <v>1</v>
      </c>
    </row>
    <row r="12" spans="1:3" x14ac:dyDescent="0.25">
      <c r="A12" s="90">
        <v>46170</v>
      </c>
      <c r="B12" s="42" t="s">
        <v>253</v>
      </c>
      <c r="C12" s="44">
        <v>1</v>
      </c>
    </row>
    <row r="13" spans="1:3" x14ac:dyDescent="0.25">
      <c r="A13" s="90">
        <v>46171</v>
      </c>
      <c r="B13" s="42" t="s">
        <v>254</v>
      </c>
      <c r="C13" s="44">
        <v>1</v>
      </c>
    </row>
    <row r="14" spans="1:3" x14ac:dyDescent="0.25">
      <c r="A14" s="90">
        <v>46172</v>
      </c>
      <c r="B14" s="42" t="s">
        <v>255</v>
      </c>
      <c r="C14" s="44">
        <v>1</v>
      </c>
    </row>
    <row r="15" spans="1:3" x14ac:dyDescent="0.25">
      <c r="A15" s="90">
        <v>46218</v>
      </c>
      <c r="B15" s="42" t="s">
        <v>19</v>
      </c>
      <c r="C15" s="44">
        <v>1</v>
      </c>
    </row>
    <row r="16" spans="1:3" x14ac:dyDescent="0.25">
      <c r="A16" s="90">
        <v>46264</v>
      </c>
      <c r="B16" s="42" t="s">
        <v>20</v>
      </c>
      <c r="C16" s="44">
        <v>1</v>
      </c>
    </row>
    <row r="17" spans="1:3" x14ac:dyDescent="0.25">
      <c r="A17" s="90">
        <v>46323</v>
      </c>
      <c r="B17" s="42" t="s">
        <v>248</v>
      </c>
      <c r="C17" s="43">
        <v>0.5</v>
      </c>
    </row>
    <row r="18" spans="1:3" x14ac:dyDescent="0.25">
      <c r="A18" s="90">
        <v>46324</v>
      </c>
      <c r="B18" s="42" t="s">
        <v>21</v>
      </c>
      <c r="C18" s="44">
        <v>1</v>
      </c>
    </row>
    <row r="19" spans="1:3" x14ac:dyDescent="0.25">
      <c r="A19" s="90">
        <v>46388</v>
      </c>
      <c r="B19" s="42" t="s">
        <v>15</v>
      </c>
      <c r="C19" s="44">
        <v>1</v>
      </c>
    </row>
    <row r="20" spans="1:3" x14ac:dyDescent="0.25">
      <c r="A20" s="90">
        <v>46454</v>
      </c>
      <c r="B20" s="42" t="s">
        <v>248</v>
      </c>
      <c r="C20" s="43">
        <v>0.5</v>
      </c>
    </row>
    <row r="21" spans="1:3" x14ac:dyDescent="0.25">
      <c r="A21" s="90">
        <v>46455</v>
      </c>
      <c r="B21" s="42" t="s">
        <v>249</v>
      </c>
      <c r="C21" s="44">
        <v>1</v>
      </c>
    </row>
    <row r="22" spans="1:3" x14ac:dyDescent="0.25">
      <c r="A22" s="90">
        <v>46456</v>
      </c>
      <c r="B22" s="42" t="s">
        <v>250</v>
      </c>
      <c r="C22" s="44">
        <v>1</v>
      </c>
    </row>
    <row r="23" spans="1:3" x14ac:dyDescent="0.25">
      <c r="A23" s="90">
        <v>46457</v>
      </c>
      <c r="B23" s="42" t="s">
        <v>251</v>
      </c>
      <c r="C23" s="44">
        <v>1</v>
      </c>
    </row>
    <row r="24" spans="1:3" x14ac:dyDescent="0.25">
      <c r="A24" s="90">
        <v>46500</v>
      </c>
      <c r="B24" s="42" t="s">
        <v>16</v>
      </c>
      <c r="C24" s="44">
        <v>1</v>
      </c>
    </row>
    <row r="25" spans="1:3" x14ac:dyDescent="0.25">
      <c r="A25" s="90">
        <v>46508</v>
      </c>
      <c r="B25" s="42" t="s">
        <v>17</v>
      </c>
      <c r="C25" s="44">
        <v>1</v>
      </c>
    </row>
    <row r="26" spans="1:3" x14ac:dyDescent="0.25">
      <c r="A26" s="90">
        <v>46522</v>
      </c>
      <c r="B26" s="42" t="s">
        <v>248</v>
      </c>
      <c r="C26" s="43">
        <v>0.5</v>
      </c>
    </row>
    <row r="27" spans="1:3" x14ac:dyDescent="0.25">
      <c r="A27" s="90">
        <v>46523</v>
      </c>
      <c r="B27" s="42" t="s">
        <v>252</v>
      </c>
      <c r="C27" s="44">
        <v>1</v>
      </c>
    </row>
    <row r="28" spans="1:3" x14ac:dyDescent="0.25">
      <c r="A28" s="90">
        <v>46524</v>
      </c>
      <c r="B28" s="42" t="s">
        <v>253</v>
      </c>
      <c r="C28" s="44">
        <v>1</v>
      </c>
    </row>
    <row r="29" spans="1:3" x14ac:dyDescent="0.25">
      <c r="A29" s="90">
        <v>46525</v>
      </c>
      <c r="B29" s="42" t="s">
        <v>254</v>
      </c>
      <c r="C29" s="44">
        <v>1</v>
      </c>
    </row>
    <row r="30" spans="1:3" x14ac:dyDescent="0.25">
      <c r="A30" s="90">
        <v>46526</v>
      </c>
      <c r="B30" s="42" t="s">
        <v>255</v>
      </c>
      <c r="C30" s="44">
        <v>1</v>
      </c>
    </row>
    <row r="31" spans="1:3" x14ac:dyDescent="0.25">
      <c r="A31" s="90">
        <v>46526</v>
      </c>
      <c r="B31" s="42" t="s">
        <v>18</v>
      </c>
      <c r="C31" s="44">
        <v>1</v>
      </c>
    </row>
    <row r="32" spans="1:3" x14ac:dyDescent="0.25">
      <c r="A32" s="90">
        <v>46583</v>
      </c>
      <c r="B32" s="42" t="s">
        <v>19</v>
      </c>
      <c r="C32" s="44">
        <v>1</v>
      </c>
    </row>
    <row r="33" spans="1:3" x14ac:dyDescent="0.25">
      <c r="A33" s="90">
        <v>46629</v>
      </c>
      <c r="B33" s="42" t="s">
        <v>20</v>
      </c>
      <c r="C33" s="44">
        <v>1</v>
      </c>
    </row>
    <row r="34" spans="1:3" x14ac:dyDescent="0.25">
      <c r="A34" s="90">
        <v>46688</v>
      </c>
      <c r="B34" s="42" t="s">
        <v>248</v>
      </c>
      <c r="C34" s="43">
        <v>0.5</v>
      </c>
    </row>
    <row r="35" spans="1:3" x14ac:dyDescent="0.25">
      <c r="A35" s="90">
        <v>46689</v>
      </c>
      <c r="B35" s="42" t="s">
        <v>21</v>
      </c>
      <c r="C35" s="44">
        <v>1</v>
      </c>
    </row>
    <row r="36" spans="1:3" x14ac:dyDescent="0.25">
      <c r="A36" s="90">
        <v>46753</v>
      </c>
      <c r="B36" s="42" t="s">
        <v>15</v>
      </c>
      <c r="C36" s="44">
        <v>1</v>
      </c>
    </row>
    <row r="37" spans="1:3" x14ac:dyDescent="0.25">
      <c r="A37" s="90">
        <v>46808</v>
      </c>
      <c r="B37" s="42" t="s">
        <v>248</v>
      </c>
      <c r="C37" s="43">
        <v>0.5</v>
      </c>
    </row>
    <row r="38" spans="1:3" x14ac:dyDescent="0.25">
      <c r="A38" s="90">
        <v>46809</v>
      </c>
      <c r="B38" s="42" t="s">
        <v>249</v>
      </c>
      <c r="C38" s="44">
        <v>1</v>
      </c>
    </row>
    <row r="39" spans="1:3" x14ac:dyDescent="0.25">
      <c r="A39" s="90">
        <v>46810</v>
      </c>
      <c r="B39" s="42" t="s">
        <v>250</v>
      </c>
      <c r="C39" s="44">
        <v>1</v>
      </c>
    </row>
    <row r="40" spans="1:3" x14ac:dyDescent="0.25">
      <c r="A40" s="90">
        <v>46811</v>
      </c>
      <c r="B40" s="42" t="s">
        <v>251</v>
      </c>
      <c r="C40" s="44">
        <v>1</v>
      </c>
    </row>
    <row r="41" spans="1:3" x14ac:dyDescent="0.25">
      <c r="A41" s="90">
        <v>46866</v>
      </c>
      <c r="B41" s="42" t="s">
        <v>16</v>
      </c>
      <c r="C41" s="44">
        <v>1</v>
      </c>
    </row>
    <row r="42" spans="1:3" x14ac:dyDescent="0.25">
      <c r="A42" s="90">
        <v>46874</v>
      </c>
      <c r="B42" s="42" t="s">
        <v>17</v>
      </c>
      <c r="C42" s="44">
        <v>1</v>
      </c>
    </row>
    <row r="43" spans="1:3" x14ac:dyDescent="0.25">
      <c r="A43" s="90">
        <v>46877</v>
      </c>
      <c r="B43" s="42" t="s">
        <v>248</v>
      </c>
      <c r="C43" s="43">
        <v>0.5</v>
      </c>
    </row>
    <row r="44" spans="1:3" x14ac:dyDescent="0.25">
      <c r="A44" s="90">
        <v>46878</v>
      </c>
      <c r="B44" s="42" t="s">
        <v>252</v>
      </c>
      <c r="C44" s="44">
        <v>1</v>
      </c>
    </row>
    <row r="45" spans="1:3" x14ac:dyDescent="0.25">
      <c r="A45" s="90">
        <v>46879</v>
      </c>
      <c r="B45" s="42" t="s">
        <v>253</v>
      </c>
      <c r="C45" s="44">
        <v>1</v>
      </c>
    </row>
    <row r="46" spans="1:3" x14ac:dyDescent="0.25">
      <c r="A46" s="90">
        <v>46880</v>
      </c>
      <c r="B46" s="42" t="s">
        <v>254</v>
      </c>
      <c r="C46" s="44">
        <v>1</v>
      </c>
    </row>
    <row r="47" spans="1:3" x14ac:dyDescent="0.25">
      <c r="A47" s="90">
        <v>46881</v>
      </c>
      <c r="B47" s="42" t="s">
        <v>255</v>
      </c>
      <c r="C47" s="44">
        <v>1</v>
      </c>
    </row>
    <row r="48" spans="1:3" x14ac:dyDescent="0.25">
      <c r="A48" s="90">
        <v>46892</v>
      </c>
      <c r="B48" s="42" t="s">
        <v>18</v>
      </c>
      <c r="C48" s="44">
        <v>1</v>
      </c>
    </row>
    <row r="49" spans="1:3" x14ac:dyDescent="0.25">
      <c r="A49" s="90">
        <v>46949</v>
      </c>
      <c r="B49" s="42" t="s">
        <v>19</v>
      </c>
      <c r="C49" s="44">
        <v>1</v>
      </c>
    </row>
    <row r="50" spans="1:3" x14ac:dyDescent="0.25">
      <c r="A50" s="90">
        <v>46995</v>
      </c>
      <c r="B50" s="42" t="s">
        <v>20</v>
      </c>
      <c r="C50" s="44">
        <v>1</v>
      </c>
    </row>
    <row r="51" spans="1:3" x14ac:dyDescent="0.25">
      <c r="A51" s="90">
        <v>47054</v>
      </c>
      <c r="B51" s="42" t="s">
        <v>248</v>
      </c>
      <c r="C51" s="43">
        <v>0.5</v>
      </c>
    </row>
    <row r="52" spans="1:3" x14ac:dyDescent="0.25">
      <c r="A52" s="90">
        <v>47055</v>
      </c>
      <c r="B52" s="42" t="s">
        <v>21</v>
      </c>
      <c r="C52" s="44">
        <v>1</v>
      </c>
    </row>
    <row r="53" spans="1:3" x14ac:dyDescent="0.25">
      <c r="A53" s="90">
        <v>47119</v>
      </c>
      <c r="B53" s="42" t="s">
        <v>15</v>
      </c>
      <c r="C53" s="44">
        <v>1</v>
      </c>
    </row>
    <row r="54" spans="1:3" x14ac:dyDescent="0.25">
      <c r="A54" s="90">
        <v>47162</v>
      </c>
      <c r="B54" s="42" t="s">
        <v>248</v>
      </c>
      <c r="C54" s="43">
        <v>0.5</v>
      </c>
    </row>
    <row r="55" spans="1:3" x14ac:dyDescent="0.25">
      <c r="A55" s="90">
        <v>47163</v>
      </c>
      <c r="B55" s="42" t="s">
        <v>249</v>
      </c>
      <c r="C55" s="44">
        <v>1</v>
      </c>
    </row>
    <row r="56" spans="1:3" x14ac:dyDescent="0.25">
      <c r="A56" s="90">
        <v>47164</v>
      </c>
      <c r="B56" s="42" t="s">
        <v>250</v>
      </c>
      <c r="C56" s="44">
        <v>1</v>
      </c>
    </row>
    <row r="57" spans="1:3" x14ac:dyDescent="0.25">
      <c r="A57" s="90">
        <v>47165</v>
      </c>
      <c r="B57" s="42" t="s">
        <v>251</v>
      </c>
      <c r="C57" s="44">
        <v>1</v>
      </c>
    </row>
    <row r="58" spans="1:3" x14ac:dyDescent="0.25">
      <c r="A58" s="90">
        <v>47231</v>
      </c>
      <c r="B58" s="42" t="s">
        <v>16</v>
      </c>
      <c r="C58" s="44">
        <v>1</v>
      </c>
    </row>
    <row r="59" spans="1:3" x14ac:dyDescent="0.25">
      <c r="A59" s="90">
        <v>47231</v>
      </c>
      <c r="B59" s="42" t="s">
        <v>248</v>
      </c>
      <c r="C59" s="43">
        <v>0.5</v>
      </c>
    </row>
    <row r="60" spans="1:3" x14ac:dyDescent="0.25">
      <c r="A60" s="90">
        <v>47232</v>
      </c>
      <c r="B60" s="42" t="s">
        <v>252</v>
      </c>
      <c r="C60" s="44">
        <v>1</v>
      </c>
    </row>
    <row r="61" spans="1:3" x14ac:dyDescent="0.25">
      <c r="A61" s="90">
        <v>47233</v>
      </c>
      <c r="B61" s="42" t="s">
        <v>253</v>
      </c>
      <c r="C61" s="44">
        <v>1</v>
      </c>
    </row>
    <row r="62" spans="1:3" x14ac:dyDescent="0.25">
      <c r="A62" s="90">
        <v>47234</v>
      </c>
      <c r="B62" s="42" t="s">
        <v>254</v>
      </c>
      <c r="C62" s="44">
        <v>1</v>
      </c>
    </row>
    <row r="63" spans="1:3" x14ac:dyDescent="0.25">
      <c r="A63" s="90">
        <v>47235</v>
      </c>
      <c r="B63" s="42" t="s">
        <v>255</v>
      </c>
      <c r="C63" s="44">
        <v>1</v>
      </c>
    </row>
    <row r="64" spans="1:3" x14ac:dyDescent="0.25">
      <c r="A64" s="90">
        <v>47239</v>
      </c>
      <c r="B64" s="42" t="s">
        <v>17</v>
      </c>
      <c r="C64" s="44">
        <v>1</v>
      </c>
    </row>
    <row r="65" spans="1:3" x14ac:dyDescent="0.25">
      <c r="A65" s="90">
        <v>47257</v>
      </c>
      <c r="B65" s="42" t="s">
        <v>18</v>
      </c>
      <c r="C65" s="44">
        <v>1</v>
      </c>
    </row>
    <row r="66" spans="1:3" x14ac:dyDescent="0.25">
      <c r="A66" s="90">
        <v>47314</v>
      </c>
      <c r="B66" s="42" t="s">
        <v>19</v>
      </c>
      <c r="C66" s="44">
        <v>1</v>
      </c>
    </row>
    <row r="67" spans="1:3" x14ac:dyDescent="0.25">
      <c r="A67" s="90">
        <v>47360</v>
      </c>
      <c r="B67" s="42" t="s">
        <v>20</v>
      </c>
      <c r="C67" s="44">
        <v>1</v>
      </c>
    </row>
    <row r="68" spans="1:3" x14ac:dyDescent="0.25">
      <c r="A68" s="90">
        <v>47419</v>
      </c>
      <c r="B68" s="42" t="s">
        <v>248</v>
      </c>
      <c r="C68" s="43">
        <v>0.5</v>
      </c>
    </row>
    <row r="69" spans="1:3" x14ac:dyDescent="0.25">
      <c r="A69" s="90">
        <v>47420</v>
      </c>
      <c r="B69" s="42" t="s">
        <v>21</v>
      </c>
      <c r="C69" s="44">
        <v>1</v>
      </c>
    </row>
    <row r="70" spans="1:3" x14ac:dyDescent="0.25">
      <c r="A70" s="90">
        <v>47484</v>
      </c>
      <c r="B70" s="42" t="s">
        <v>15</v>
      </c>
      <c r="C70" s="44">
        <v>1</v>
      </c>
    </row>
    <row r="71" spans="1:3" x14ac:dyDescent="0.25">
      <c r="A71" s="90">
        <v>47516</v>
      </c>
      <c r="B71" s="42" t="s">
        <v>248</v>
      </c>
      <c r="C71" s="43">
        <v>0.5</v>
      </c>
    </row>
    <row r="72" spans="1:3" x14ac:dyDescent="0.25">
      <c r="A72" s="90">
        <v>47517</v>
      </c>
      <c r="B72" s="42" t="s">
        <v>249</v>
      </c>
      <c r="C72" s="44">
        <v>1</v>
      </c>
    </row>
    <row r="73" spans="1:3" x14ac:dyDescent="0.25">
      <c r="A73" s="90">
        <v>47518</v>
      </c>
      <c r="B73" s="42" t="s">
        <v>250</v>
      </c>
      <c r="C73" s="44">
        <v>1</v>
      </c>
    </row>
    <row r="74" spans="1:3" x14ac:dyDescent="0.25">
      <c r="A74" s="90">
        <v>47519</v>
      </c>
      <c r="B74" s="42" t="s">
        <v>251</v>
      </c>
      <c r="C74" s="44">
        <v>1</v>
      </c>
    </row>
    <row r="75" spans="1:3" x14ac:dyDescent="0.25">
      <c r="A75" s="90">
        <v>47585</v>
      </c>
      <c r="B75" s="42" t="s">
        <v>248</v>
      </c>
      <c r="C75" s="43">
        <v>0.5</v>
      </c>
    </row>
    <row r="76" spans="1:3" x14ac:dyDescent="0.25">
      <c r="A76" s="90">
        <v>47586</v>
      </c>
      <c r="B76" s="42" t="s">
        <v>252</v>
      </c>
      <c r="C76" s="44">
        <v>1</v>
      </c>
    </row>
    <row r="77" spans="1:3" x14ac:dyDescent="0.25">
      <c r="A77" s="90">
        <v>47587</v>
      </c>
      <c r="B77" s="42" t="s">
        <v>253</v>
      </c>
      <c r="C77" s="44">
        <v>1</v>
      </c>
    </row>
    <row r="78" spans="1:3" x14ac:dyDescent="0.25">
      <c r="A78" s="90">
        <v>47588</v>
      </c>
      <c r="B78" s="42" t="s">
        <v>254</v>
      </c>
      <c r="C78" s="44">
        <v>1</v>
      </c>
    </row>
    <row r="79" spans="1:3" x14ac:dyDescent="0.25">
      <c r="A79" s="90">
        <v>47589</v>
      </c>
      <c r="B79" s="42" t="s">
        <v>255</v>
      </c>
      <c r="C79" s="44">
        <v>1</v>
      </c>
    </row>
    <row r="80" spans="1:3" x14ac:dyDescent="0.25">
      <c r="A80" s="90">
        <v>47596</v>
      </c>
      <c r="B80" s="42" t="s">
        <v>16</v>
      </c>
      <c r="C80" s="44">
        <v>1</v>
      </c>
    </row>
    <row r="81" spans="1:3" x14ac:dyDescent="0.25">
      <c r="A81" s="90">
        <v>47604</v>
      </c>
      <c r="B81" s="42" t="s">
        <v>17</v>
      </c>
      <c r="C81" s="44">
        <v>1</v>
      </c>
    </row>
    <row r="82" spans="1:3" x14ac:dyDescent="0.25">
      <c r="A82" s="90">
        <v>47622</v>
      </c>
      <c r="B82" s="42" t="s">
        <v>18</v>
      </c>
      <c r="C82" s="44">
        <v>1</v>
      </c>
    </row>
    <row r="83" spans="1:3" x14ac:dyDescent="0.25">
      <c r="A83" s="90">
        <v>47679</v>
      </c>
      <c r="B83" s="42" t="s">
        <v>19</v>
      </c>
      <c r="C83" s="44">
        <v>1</v>
      </c>
    </row>
    <row r="84" spans="1:3" x14ac:dyDescent="0.25">
      <c r="A84" s="90">
        <v>47725</v>
      </c>
      <c r="B84" s="42" t="s">
        <v>20</v>
      </c>
      <c r="C84" s="44">
        <v>1</v>
      </c>
    </row>
    <row r="85" spans="1:3" x14ac:dyDescent="0.25">
      <c r="A85" s="90">
        <v>47784</v>
      </c>
      <c r="B85" s="42" t="s">
        <v>248</v>
      </c>
      <c r="C85" s="43">
        <v>0.5</v>
      </c>
    </row>
    <row r="86" spans="1:3" x14ac:dyDescent="0.25">
      <c r="A86" s="90">
        <v>47785</v>
      </c>
      <c r="B86" s="42" t="s">
        <v>21</v>
      </c>
      <c r="C86" s="44">
        <v>1</v>
      </c>
    </row>
    <row r="87" spans="1:3" x14ac:dyDescent="0.25">
      <c r="A87" s="90">
        <v>47849</v>
      </c>
      <c r="B87" s="42" t="s">
        <v>15</v>
      </c>
      <c r="C87" s="44">
        <v>1</v>
      </c>
    </row>
    <row r="88" spans="1:3" x14ac:dyDescent="0.25">
      <c r="A88" s="90">
        <v>47870</v>
      </c>
      <c r="B88" s="42" t="s">
        <v>248</v>
      </c>
      <c r="C88" s="43">
        <v>0.5</v>
      </c>
    </row>
    <row r="89" spans="1:3" x14ac:dyDescent="0.25">
      <c r="A89" s="90">
        <v>47871</v>
      </c>
      <c r="B89" s="42" t="s">
        <v>249</v>
      </c>
      <c r="C89" s="44">
        <v>1</v>
      </c>
    </row>
    <row r="90" spans="1:3" x14ac:dyDescent="0.25">
      <c r="A90" s="90">
        <v>47872</v>
      </c>
      <c r="B90" s="42" t="s">
        <v>250</v>
      </c>
      <c r="C90" s="44">
        <v>1</v>
      </c>
    </row>
    <row r="91" spans="1:3" x14ac:dyDescent="0.25">
      <c r="A91" s="90">
        <v>47873</v>
      </c>
      <c r="B91" s="42" t="s">
        <v>251</v>
      </c>
      <c r="C91" s="44">
        <v>1</v>
      </c>
    </row>
    <row r="92" spans="1:3" x14ac:dyDescent="0.25">
      <c r="A92" s="90">
        <v>47939</v>
      </c>
      <c r="B92" s="42" t="s">
        <v>248</v>
      </c>
      <c r="C92" s="43">
        <v>0.5</v>
      </c>
    </row>
    <row r="93" spans="1:3" x14ac:dyDescent="0.25">
      <c r="A93" s="90">
        <v>47940</v>
      </c>
      <c r="B93" s="42" t="s">
        <v>252</v>
      </c>
      <c r="C93" s="44">
        <v>1</v>
      </c>
    </row>
    <row r="94" spans="1:3" x14ac:dyDescent="0.25">
      <c r="A94" s="90">
        <v>47941</v>
      </c>
      <c r="B94" s="42" t="s">
        <v>253</v>
      </c>
      <c r="C94" s="44">
        <v>1</v>
      </c>
    </row>
    <row r="95" spans="1:3" x14ac:dyDescent="0.25">
      <c r="A95" s="90">
        <v>47942</v>
      </c>
      <c r="B95" s="42" t="s">
        <v>254</v>
      </c>
      <c r="C95" s="44">
        <v>1</v>
      </c>
    </row>
    <row r="96" spans="1:3" x14ac:dyDescent="0.25">
      <c r="A96" s="90">
        <v>47943</v>
      </c>
      <c r="B96" s="42" t="s">
        <v>255</v>
      </c>
      <c r="C96" s="44">
        <v>1</v>
      </c>
    </row>
    <row r="97" spans="1:3" x14ac:dyDescent="0.25">
      <c r="A97" s="90">
        <v>47961</v>
      </c>
      <c r="B97" s="42" t="s">
        <v>16</v>
      </c>
      <c r="C97" s="44">
        <v>1</v>
      </c>
    </row>
    <row r="98" spans="1:3" x14ac:dyDescent="0.25">
      <c r="A98" s="90">
        <v>47969</v>
      </c>
      <c r="B98" s="42" t="s">
        <v>17</v>
      </c>
      <c r="C98" s="44">
        <v>1</v>
      </c>
    </row>
    <row r="99" spans="1:3" x14ac:dyDescent="0.25">
      <c r="A99" s="90">
        <v>47987</v>
      </c>
      <c r="B99" s="42" t="s">
        <v>18</v>
      </c>
      <c r="C99" s="44">
        <v>1</v>
      </c>
    </row>
    <row r="100" spans="1:3" x14ac:dyDescent="0.25">
      <c r="A100" s="90">
        <v>48044</v>
      </c>
      <c r="B100" s="42" t="s">
        <v>19</v>
      </c>
      <c r="C100" s="44">
        <v>1</v>
      </c>
    </row>
    <row r="101" spans="1:3" x14ac:dyDescent="0.25">
      <c r="A101" s="90">
        <v>48090</v>
      </c>
      <c r="B101" s="42" t="s">
        <v>20</v>
      </c>
      <c r="C101" s="44">
        <v>1</v>
      </c>
    </row>
    <row r="102" spans="1:3" x14ac:dyDescent="0.25">
      <c r="A102" s="90">
        <v>48149</v>
      </c>
      <c r="B102" s="42" t="s">
        <v>248</v>
      </c>
      <c r="C102" s="43">
        <v>0.5</v>
      </c>
    </row>
    <row r="103" spans="1:3" x14ac:dyDescent="0.25">
      <c r="A103" s="90">
        <v>48150</v>
      </c>
      <c r="B103" s="42" t="s">
        <v>21</v>
      </c>
      <c r="C103" s="44">
        <v>1</v>
      </c>
    </row>
    <row r="104" spans="1:3" x14ac:dyDescent="0.25">
      <c r="A104" s="90">
        <v>48214</v>
      </c>
      <c r="B104" s="42" t="s">
        <v>15</v>
      </c>
      <c r="C104" s="44">
        <v>1</v>
      </c>
    </row>
    <row r="105" spans="1:3" x14ac:dyDescent="0.25">
      <c r="A105" s="90">
        <v>48224</v>
      </c>
      <c r="B105" s="42" t="s">
        <v>248</v>
      </c>
      <c r="C105" s="43">
        <v>0.5</v>
      </c>
    </row>
    <row r="106" spans="1:3" x14ac:dyDescent="0.25">
      <c r="A106" s="90">
        <v>48225</v>
      </c>
      <c r="B106" s="42" t="s">
        <v>249</v>
      </c>
      <c r="C106" s="44">
        <v>1</v>
      </c>
    </row>
    <row r="107" spans="1:3" x14ac:dyDescent="0.25">
      <c r="A107" s="90">
        <v>48226</v>
      </c>
      <c r="B107" s="42" t="s">
        <v>250</v>
      </c>
      <c r="C107" s="44">
        <v>1</v>
      </c>
    </row>
    <row r="108" spans="1:3" x14ac:dyDescent="0.25">
      <c r="A108" s="90">
        <v>48227</v>
      </c>
      <c r="B108" s="42" t="s">
        <v>251</v>
      </c>
      <c r="C108" s="44">
        <v>1</v>
      </c>
    </row>
    <row r="109" spans="1:3" x14ac:dyDescent="0.25">
      <c r="A109" s="90">
        <v>48293</v>
      </c>
      <c r="B109" s="42" t="s">
        <v>248</v>
      </c>
      <c r="C109" s="43">
        <v>0.5</v>
      </c>
    </row>
    <row r="110" spans="1:3" x14ac:dyDescent="0.25">
      <c r="A110" s="90">
        <v>48294</v>
      </c>
      <c r="B110" s="42" t="s">
        <v>252</v>
      </c>
      <c r="C110" s="44">
        <v>1</v>
      </c>
    </row>
    <row r="111" spans="1:3" x14ac:dyDescent="0.25">
      <c r="A111" s="90">
        <v>48295</v>
      </c>
      <c r="B111" s="42" t="s">
        <v>253</v>
      </c>
      <c r="C111" s="44">
        <v>1</v>
      </c>
    </row>
    <row r="112" spans="1:3" x14ac:dyDescent="0.25">
      <c r="A112" s="90">
        <v>48296</v>
      </c>
      <c r="B112" s="42" t="s">
        <v>254</v>
      </c>
      <c r="C112" s="44">
        <v>1</v>
      </c>
    </row>
    <row r="113" spans="1:3" x14ac:dyDescent="0.25">
      <c r="A113" s="90">
        <v>48297</v>
      </c>
      <c r="B113" s="42" t="s">
        <v>255</v>
      </c>
      <c r="C113" s="44">
        <v>1</v>
      </c>
    </row>
    <row r="114" spans="1:3" x14ac:dyDescent="0.25">
      <c r="A114" s="90">
        <v>48327</v>
      </c>
      <c r="B114" s="42" t="s">
        <v>16</v>
      </c>
      <c r="C114" s="44">
        <v>1</v>
      </c>
    </row>
    <row r="115" spans="1:3" x14ac:dyDescent="0.25">
      <c r="A115" s="90">
        <v>48335</v>
      </c>
      <c r="B115" s="42" t="s">
        <v>17</v>
      </c>
      <c r="C115" s="44">
        <v>1</v>
      </c>
    </row>
    <row r="116" spans="1:3" x14ac:dyDescent="0.25">
      <c r="A116" s="90">
        <v>48353</v>
      </c>
      <c r="B116" s="42" t="s">
        <v>18</v>
      </c>
      <c r="C116" s="44">
        <v>1</v>
      </c>
    </row>
    <row r="117" spans="1:3" x14ac:dyDescent="0.25">
      <c r="A117" s="90">
        <v>48410</v>
      </c>
      <c r="B117" s="42" t="s">
        <v>19</v>
      </c>
      <c r="C117" s="44">
        <v>1</v>
      </c>
    </row>
    <row r="118" spans="1:3" x14ac:dyDescent="0.25">
      <c r="A118" s="90">
        <v>48456</v>
      </c>
      <c r="B118" s="42" t="s">
        <v>20</v>
      </c>
      <c r="C118" s="44">
        <v>1</v>
      </c>
    </row>
    <row r="119" spans="1:3" x14ac:dyDescent="0.25">
      <c r="A119" s="90">
        <v>48515</v>
      </c>
      <c r="B119" s="42" t="s">
        <v>248</v>
      </c>
      <c r="C119" s="43">
        <v>0.5</v>
      </c>
    </row>
    <row r="120" spans="1:3" x14ac:dyDescent="0.25">
      <c r="A120" s="90">
        <v>48516</v>
      </c>
      <c r="B120" s="42" t="s">
        <v>21</v>
      </c>
      <c r="C120" s="44">
        <v>1</v>
      </c>
    </row>
    <row r="121" spans="1:3" x14ac:dyDescent="0.25">
      <c r="A121" s="90">
        <v>48580</v>
      </c>
      <c r="B121" s="42" t="s">
        <v>15</v>
      </c>
      <c r="C121" s="44">
        <v>1</v>
      </c>
    </row>
    <row r="122" spans="1:3" x14ac:dyDescent="0.25">
      <c r="A122" s="90">
        <v>48580</v>
      </c>
      <c r="B122" s="42" t="s">
        <v>248</v>
      </c>
      <c r="C122" s="43">
        <v>0.5</v>
      </c>
    </row>
    <row r="123" spans="1:3" x14ac:dyDescent="0.25">
      <c r="A123" s="90">
        <v>48581</v>
      </c>
      <c r="B123" s="42" t="s">
        <v>249</v>
      </c>
      <c r="C123" s="44">
        <v>1</v>
      </c>
    </row>
    <row r="124" spans="1:3" x14ac:dyDescent="0.25">
      <c r="A124" s="90">
        <v>48582</v>
      </c>
      <c r="B124" s="42" t="s">
        <v>250</v>
      </c>
      <c r="C124" s="44">
        <v>1</v>
      </c>
    </row>
    <row r="125" spans="1:3" x14ac:dyDescent="0.25">
      <c r="A125" s="90">
        <v>48583</v>
      </c>
      <c r="B125" s="42" t="s">
        <v>251</v>
      </c>
      <c r="C125" s="44">
        <v>1</v>
      </c>
    </row>
    <row r="126" spans="1:3" x14ac:dyDescent="0.25">
      <c r="A126" s="90">
        <v>48648</v>
      </c>
      <c r="B126" s="42" t="s">
        <v>248</v>
      </c>
      <c r="C126" s="43">
        <v>0.5</v>
      </c>
    </row>
    <row r="127" spans="1:3" x14ac:dyDescent="0.25">
      <c r="A127" s="90">
        <v>48649</v>
      </c>
      <c r="B127" s="42" t="s">
        <v>252</v>
      </c>
      <c r="C127" s="44">
        <v>1</v>
      </c>
    </row>
    <row r="128" spans="1:3" x14ac:dyDescent="0.25">
      <c r="A128" s="90">
        <v>48650</v>
      </c>
      <c r="B128" s="42" t="s">
        <v>253</v>
      </c>
      <c r="C128" s="44">
        <v>1</v>
      </c>
    </row>
    <row r="129" spans="1:3" x14ac:dyDescent="0.25">
      <c r="A129" s="90">
        <v>48651</v>
      </c>
      <c r="B129" s="42" t="s">
        <v>254</v>
      </c>
      <c r="C129" s="44">
        <v>1</v>
      </c>
    </row>
    <row r="130" spans="1:3" x14ac:dyDescent="0.25">
      <c r="A130" s="90">
        <v>48652</v>
      </c>
      <c r="B130" s="42" t="s">
        <v>255</v>
      </c>
      <c r="C130" s="44">
        <v>1</v>
      </c>
    </row>
    <row r="131" spans="1:3" x14ac:dyDescent="0.25">
      <c r="A131" s="90">
        <v>48692</v>
      </c>
      <c r="B131" s="42" t="s">
        <v>16</v>
      </c>
      <c r="C131" s="44">
        <v>1</v>
      </c>
    </row>
    <row r="132" spans="1:3" x14ac:dyDescent="0.25">
      <c r="A132" s="90">
        <v>48700</v>
      </c>
      <c r="B132" s="42" t="s">
        <v>17</v>
      </c>
      <c r="C132" s="44">
        <v>1</v>
      </c>
    </row>
    <row r="133" spans="1:3" x14ac:dyDescent="0.25">
      <c r="A133" s="90">
        <v>48718</v>
      </c>
      <c r="B133" s="42" t="s">
        <v>18</v>
      </c>
      <c r="C133" s="44">
        <v>1</v>
      </c>
    </row>
    <row r="134" spans="1:3" x14ac:dyDescent="0.25">
      <c r="A134" s="90">
        <v>48775</v>
      </c>
      <c r="B134" s="42" t="s">
        <v>19</v>
      </c>
      <c r="C134" s="44">
        <v>1</v>
      </c>
    </row>
    <row r="135" spans="1:3" x14ac:dyDescent="0.25">
      <c r="A135" s="90">
        <v>48821</v>
      </c>
      <c r="B135" s="42" t="s">
        <v>20</v>
      </c>
      <c r="C135" s="44">
        <v>1</v>
      </c>
    </row>
    <row r="136" spans="1:3" x14ac:dyDescent="0.25">
      <c r="A136" s="90">
        <v>48880</v>
      </c>
      <c r="B136" s="42" t="s">
        <v>248</v>
      </c>
      <c r="C136" s="43">
        <v>0.5</v>
      </c>
    </row>
    <row r="137" spans="1:3" x14ac:dyDescent="0.25">
      <c r="A137" s="90">
        <v>48881</v>
      </c>
      <c r="B137" s="42" t="s">
        <v>21</v>
      </c>
      <c r="C137" s="44">
        <v>1</v>
      </c>
    </row>
    <row r="138" spans="1:3" x14ac:dyDescent="0.25">
      <c r="A138" s="90">
        <v>48935</v>
      </c>
      <c r="B138" s="42" t="s">
        <v>248</v>
      </c>
      <c r="C138" s="43">
        <v>0.5</v>
      </c>
    </row>
    <row r="139" spans="1:3" x14ac:dyDescent="0.25">
      <c r="A139" s="90">
        <v>48936</v>
      </c>
      <c r="B139" s="42" t="s">
        <v>249</v>
      </c>
      <c r="C139" s="44">
        <v>1</v>
      </c>
    </row>
    <row r="140" spans="1:3" x14ac:dyDescent="0.25">
      <c r="A140" s="90">
        <v>48937</v>
      </c>
      <c r="B140" s="42" t="s">
        <v>250</v>
      </c>
      <c r="C140" s="44">
        <v>1</v>
      </c>
    </row>
    <row r="141" spans="1:3" x14ac:dyDescent="0.25">
      <c r="A141" s="90">
        <v>48938</v>
      </c>
      <c r="B141" s="42" t="s">
        <v>251</v>
      </c>
      <c r="C141" s="44">
        <v>1</v>
      </c>
    </row>
    <row r="142" spans="1:3" x14ac:dyDescent="0.25">
      <c r="A142" s="90">
        <v>48945</v>
      </c>
      <c r="B142" s="42" t="s">
        <v>15</v>
      </c>
      <c r="C142" s="44">
        <v>1</v>
      </c>
    </row>
    <row r="143" spans="1:3" x14ac:dyDescent="0.25">
      <c r="A143" s="90">
        <v>49002</v>
      </c>
      <c r="B143" s="42" t="s">
        <v>248</v>
      </c>
      <c r="C143" s="43">
        <v>0.5</v>
      </c>
    </row>
    <row r="144" spans="1:3" x14ac:dyDescent="0.25">
      <c r="A144" s="90">
        <v>49003</v>
      </c>
      <c r="B144" s="42" t="s">
        <v>252</v>
      </c>
      <c r="C144" s="44">
        <v>1</v>
      </c>
    </row>
    <row r="145" spans="1:3" x14ac:dyDescent="0.25">
      <c r="A145" s="90">
        <v>49004</v>
      </c>
      <c r="B145" s="42" t="s">
        <v>253</v>
      </c>
      <c r="C145" s="44">
        <v>1</v>
      </c>
    </row>
    <row r="146" spans="1:3" x14ac:dyDescent="0.25">
      <c r="A146" s="90">
        <v>49005</v>
      </c>
      <c r="B146" s="42" t="s">
        <v>254</v>
      </c>
      <c r="C146" s="44">
        <v>1</v>
      </c>
    </row>
    <row r="147" spans="1:3" x14ac:dyDescent="0.25">
      <c r="A147" s="90">
        <v>49006</v>
      </c>
      <c r="B147" s="42" t="s">
        <v>255</v>
      </c>
      <c r="C147" s="44">
        <v>1</v>
      </c>
    </row>
    <row r="148" spans="1:3" x14ac:dyDescent="0.25">
      <c r="A148" s="90">
        <v>49057</v>
      </c>
      <c r="B148" s="42" t="s">
        <v>16</v>
      </c>
      <c r="C148" s="44">
        <v>1</v>
      </c>
    </row>
    <row r="149" spans="1:3" x14ac:dyDescent="0.25">
      <c r="A149" s="90">
        <v>49065</v>
      </c>
      <c r="B149" s="42" t="s">
        <v>17</v>
      </c>
      <c r="C149" s="44">
        <v>1</v>
      </c>
    </row>
    <row r="150" spans="1:3" x14ac:dyDescent="0.25">
      <c r="A150" s="90">
        <v>49083</v>
      </c>
      <c r="B150" s="42" t="s">
        <v>18</v>
      </c>
      <c r="C150" s="44">
        <v>1</v>
      </c>
    </row>
    <row r="151" spans="1:3" x14ac:dyDescent="0.25">
      <c r="A151" s="90">
        <v>49140</v>
      </c>
      <c r="B151" s="42" t="s">
        <v>19</v>
      </c>
      <c r="C151" s="44">
        <v>1</v>
      </c>
    </row>
    <row r="152" spans="1:3" x14ac:dyDescent="0.25">
      <c r="A152" s="90">
        <v>49186</v>
      </c>
      <c r="B152" s="42" t="s">
        <v>20</v>
      </c>
      <c r="C152" s="44">
        <v>1</v>
      </c>
    </row>
    <row r="153" spans="1:3" x14ac:dyDescent="0.25">
      <c r="A153" s="90">
        <v>49245</v>
      </c>
      <c r="B153" s="42" t="s">
        <v>248</v>
      </c>
      <c r="C153" s="43">
        <v>0.5</v>
      </c>
    </row>
    <row r="154" spans="1:3" x14ac:dyDescent="0.25">
      <c r="A154" s="90">
        <v>49246</v>
      </c>
      <c r="B154" s="42" t="s">
        <v>21</v>
      </c>
      <c r="C154" s="44">
        <v>1</v>
      </c>
    </row>
    <row r="155" spans="1:3" x14ac:dyDescent="0.25">
      <c r="A155" s="90">
        <v>49289</v>
      </c>
      <c r="B155" s="42" t="s">
        <v>248</v>
      </c>
      <c r="C155" s="43">
        <v>0.5</v>
      </c>
    </row>
    <row r="156" spans="1:3" x14ac:dyDescent="0.25">
      <c r="A156" s="90">
        <v>49290</v>
      </c>
      <c r="B156" s="42" t="s">
        <v>249</v>
      </c>
      <c r="C156" s="44">
        <v>1</v>
      </c>
    </row>
    <row r="157" spans="1:3" x14ac:dyDescent="0.25">
      <c r="A157" s="90">
        <v>49291</v>
      </c>
      <c r="B157" s="42" t="s">
        <v>250</v>
      </c>
      <c r="C157" s="44">
        <v>1</v>
      </c>
    </row>
    <row r="158" spans="1:3" x14ac:dyDescent="0.25">
      <c r="A158" s="90">
        <v>49292</v>
      </c>
      <c r="B158" s="42" t="s">
        <v>251</v>
      </c>
      <c r="C158" s="44">
        <v>1</v>
      </c>
    </row>
    <row r="159" spans="1:3" x14ac:dyDescent="0.25">
      <c r="A159" s="90">
        <v>49310</v>
      </c>
      <c r="B159" s="42" t="s">
        <v>15</v>
      </c>
      <c r="C159" s="44">
        <v>1</v>
      </c>
    </row>
    <row r="160" spans="1:3" x14ac:dyDescent="0.25">
      <c r="A160" s="90">
        <v>49356</v>
      </c>
      <c r="B160" s="42" t="s">
        <v>248</v>
      </c>
      <c r="C160" s="43">
        <v>0.5</v>
      </c>
    </row>
    <row r="161" spans="1:3" x14ac:dyDescent="0.25">
      <c r="A161" s="90">
        <v>49357</v>
      </c>
      <c r="B161" s="42" t="s">
        <v>252</v>
      </c>
      <c r="C161" s="44">
        <v>1</v>
      </c>
    </row>
    <row r="162" spans="1:3" x14ac:dyDescent="0.25">
      <c r="A162" s="90">
        <v>49358</v>
      </c>
      <c r="B162" s="42" t="s">
        <v>253</v>
      </c>
      <c r="C162" s="44">
        <v>1</v>
      </c>
    </row>
    <row r="163" spans="1:3" x14ac:dyDescent="0.25">
      <c r="A163" s="90">
        <v>49359</v>
      </c>
      <c r="B163" s="42" t="s">
        <v>254</v>
      </c>
      <c r="C163" s="44">
        <v>1</v>
      </c>
    </row>
    <row r="164" spans="1:3" x14ac:dyDescent="0.25">
      <c r="A164" s="90">
        <v>49360</v>
      </c>
      <c r="B164" s="42" t="s">
        <v>255</v>
      </c>
      <c r="C164" s="44">
        <v>1</v>
      </c>
    </row>
    <row r="165" spans="1:3" x14ac:dyDescent="0.25">
      <c r="A165" s="90">
        <v>49422</v>
      </c>
      <c r="B165" s="42" t="s">
        <v>16</v>
      </c>
      <c r="C165" s="44">
        <v>1</v>
      </c>
    </row>
    <row r="166" spans="1:3" x14ac:dyDescent="0.25">
      <c r="A166" s="90">
        <v>49430</v>
      </c>
      <c r="B166" s="42" t="s">
        <v>17</v>
      </c>
      <c r="C166" s="44">
        <v>1</v>
      </c>
    </row>
    <row r="167" spans="1:3" x14ac:dyDescent="0.25">
      <c r="A167" s="90">
        <v>49448</v>
      </c>
      <c r="B167" s="42" t="s">
        <v>18</v>
      </c>
      <c r="C167" s="44">
        <v>1</v>
      </c>
    </row>
    <row r="168" spans="1:3" x14ac:dyDescent="0.25">
      <c r="A168" s="90">
        <v>49505</v>
      </c>
      <c r="B168" s="42" t="s">
        <v>19</v>
      </c>
      <c r="C168" s="44">
        <v>1</v>
      </c>
    </row>
    <row r="169" spans="1:3" x14ac:dyDescent="0.25">
      <c r="A169" s="90">
        <v>49551</v>
      </c>
      <c r="B169" s="42" t="s">
        <v>20</v>
      </c>
      <c r="C169" s="44">
        <v>1</v>
      </c>
    </row>
    <row r="170" spans="1:3" x14ac:dyDescent="0.25">
      <c r="A170" s="90">
        <v>49610</v>
      </c>
      <c r="B170" s="42" t="s">
        <v>248</v>
      </c>
      <c r="C170" s="43">
        <v>0.5</v>
      </c>
    </row>
    <row r="171" spans="1:3" x14ac:dyDescent="0.25">
      <c r="A171" s="90">
        <v>49611</v>
      </c>
      <c r="B171" s="42" t="s">
        <v>21</v>
      </c>
      <c r="C171" s="44">
        <v>1</v>
      </c>
    </row>
    <row r="172" spans="1:3" x14ac:dyDescent="0.25">
      <c r="A172" s="90">
        <v>49643</v>
      </c>
      <c r="B172" s="42" t="s">
        <v>248</v>
      </c>
      <c r="C172" s="43">
        <v>0.5</v>
      </c>
    </row>
    <row r="173" spans="1:3" x14ac:dyDescent="0.25">
      <c r="A173" s="90">
        <v>49644</v>
      </c>
      <c r="B173" s="42" t="s">
        <v>249</v>
      </c>
      <c r="C173" s="44">
        <v>1</v>
      </c>
    </row>
    <row r="174" spans="1:3" x14ac:dyDescent="0.25">
      <c r="A174" s="90">
        <v>49645</v>
      </c>
      <c r="B174" s="42" t="s">
        <v>250</v>
      </c>
      <c r="C174" s="44">
        <v>1</v>
      </c>
    </row>
    <row r="175" spans="1:3" x14ac:dyDescent="0.25">
      <c r="A175" s="90">
        <v>49646</v>
      </c>
      <c r="B175" s="42" t="s">
        <v>251</v>
      </c>
      <c r="C175" s="44">
        <v>1</v>
      </c>
    </row>
    <row r="176" spans="1:3" x14ac:dyDescent="0.25">
      <c r="A176" s="90">
        <v>45853</v>
      </c>
      <c r="B176" s="65" t="s">
        <v>19</v>
      </c>
      <c r="C176" s="44">
        <v>1</v>
      </c>
    </row>
    <row r="177" spans="1:3" x14ac:dyDescent="0.25">
      <c r="A177" s="90">
        <v>45658</v>
      </c>
      <c r="B177" s="65"/>
      <c r="C177" s="44">
        <v>1</v>
      </c>
    </row>
    <row r="178" spans="1:3" x14ac:dyDescent="0.25">
      <c r="A178" s="90">
        <v>45745</v>
      </c>
      <c r="B178" s="42" t="s">
        <v>248</v>
      </c>
      <c r="C178" s="43">
        <v>0.5</v>
      </c>
    </row>
    <row r="179" spans="1:3" x14ac:dyDescent="0.25">
      <c r="A179" s="90">
        <v>45746</v>
      </c>
      <c r="B179" s="66"/>
      <c r="C179" s="44">
        <v>1</v>
      </c>
    </row>
    <row r="180" spans="1:3" x14ac:dyDescent="0.25">
      <c r="A180" s="90">
        <v>45747</v>
      </c>
      <c r="B180" s="66"/>
      <c r="C180" s="44">
        <v>1</v>
      </c>
    </row>
    <row r="181" spans="1:3" x14ac:dyDescent="0.25">
      <c r="A181" s="90">
        <v>45748</v>
      </c>
      <c r="B181" s="65"/>
      <c r="C181" s="44">
        <v>1</v>
      </c>
    </row>
    <row r="182" spans="1:3" x14ac:dyDescent="0.25">
      <c r="A182" s="90">
        <v>45770</v>
      </c>
      <c r="B182" s="65"/>
      <c r="C182" s="44">
        <v>1</v>
      </c>
    </row>
    <row r="183" spans="1:3" x14ac:dyDescent="0.25">
      <c r="A183" s="90">
        <v>45778</v>
      </c>
      <c r="B183" s="65"/>
      <c r="C183" s="44">
        <v>1</v>
      </c>
    </row>
    <row r="184" spans="1:3" x14ac:dyDescent="0.25">
      <c r="A184" s="90">
        <v>45796</v>
      </c>
      <c r="B184" s="65"/>
      <c r="C184" s="44">
        <v>1</v>
      </c>
    </row>
    <row r="185" spans="1:3" x14ac:dyDescent="0.25">
      <c r="A185" s="90">
        <v>45813</v>
      </c>
      <c r="B185" s="42" t="s">
        <v>248</v>
      </c>
      <c r="C185" s="43">
        <v>0.5</v>
      </c>
    </row>
    <row r="186" spans="1:3" x14ac:dyDescent="0.25">
      <c r="A186" s="90">
        <v>45814</v>
      </c>
      <c r="B186" s="65"/>
      <c r="C186" s="44">
        <v>1</v>
      </c>
    </row>
    <row r="187" spans="1:3" x14ac:dyDescent="0.25">
      <c r="A187" s="90">
        <v>45815</v>
      </c>
      <c r="B187" s="65"/>
      <c r="C187" s="44">
        <v>1</v>
      </c>
    </row>
    <row r="188" spans="1:3" x14ac:dyDescent="0.25">
      <c r="A188" s="90">
        <v>45816</v>
      </c>
      <c r="B188" s="65"/>
      <c r="C188" s="44">
        <v>1</v>
      </c>
    </row>
    <row r="189" spans="1:3" x14ac:dyDescent="0.25">
      <c r="A189" s="90">
        <v>45817</v>
      </c>
      <c r="B189" s="65"/>
      <c r="C189" s="44">
        <v>1</v>
      </c>
    </row>
    <row r="190" spans="1:3" x14ac:dyDescent="0.25">
      <c r="A190" s="90">
        <v>45899</v>
      </c>
      <c r="B190" s="65"/>
      <c r="C190" s="44">
        <v>1</v>
      </c>
    </row>
    <row r="191" spans="1:3" x14ac:dyDescent="0.25">
      <c r="A191" s="90">
        <v>45958</v>
      </c>
      <c r="B191" s="42" t="s">
        <v>248</v>
      </c>
      <c r="C191" s="43">
        <v>0.5</v>
      </c>
    </row>
    <row r="192" spans="1:3" x14ac:dyDescent="0.25">
      <c r="A192" s="90">
        <v>45959</v>
      </c>
      <c r="B192" s="65"/>
      <c r="C192" s="44">
        <v>1</v>
      </c>
    </row>
    <row r="193" spans="1:3" x14ac:dyDescent="0.25">
      <c r="A193" s="92">
        <v>36526</v>
      </c>
      <c r="B193" s="88" t="s">
        <v>15</v>
      </c>
      <c r="C193" s="44">
        <v>1</v>
      </c>
    </row>
    <row r="194" spans="1:3" x14ac:dyDescent="0.25">
      <c r="A194" s="92">
        <v>36600</v>
      </c>
      <c r="B194" s="88" t="s">
        <v>248</v>
      </c>
      <c r="C194" s="43">
        <v>0.5</v>
      </c>
    </row>
    <row r="195" spans="1:3" x14ac:dyDescent="0.25">
      <c r="A195" s="92">
        <v>36601</v>
      </c>
      <c r="B195" s="88" t="s">
        <v>2289</v>
      </c>
      <c r="C195" s="44">
        <v>1</v>
      </c>
    </row>
    <row r="196" spans="1:3" x14ac:dyDescent="0.25">
      <c r="A196" s="92">
        <v>36602</v>
      </c>
      <c r="B196" s="88" t="s">
        <v>2289</v>
      </c>
      <c r="C196" s="44">
        <v>1</v>
      </c>
    </row>
    <row r="197" spans="1:3" x14ac:dyDescent="0.25">
      <c r="A197" s="92">
        <v>36603</v>
      </c>
      <c r="B197" s="88" t="s">
        <v>2289</v>
      </c>
      <c r="C197" s="44">
        <v>1</v>
      </c>
    </row>
    <row r="198" spans="1:3" x14ac:dyDescent="0.25">
      <c r="A198" s="92">
        <v>36604</v>
      </c>
      <c r="B198" s="88" t="s">
        <v>2289</v>
      </c>
      <c r="C198" s="44">
        <v>1</v>
      </c>
    </row>
    <row r="199" spans="1:3" x14ac:dyDescent="0.25">
      <c r="A199" s="92">
        <v>36639</v>
      </c>
      <c r="B199" s="88" t="s">
        <v>16</v>
      </c>
      <c r="C199" s="44">
        <v>1</v>
      </c>
    </row>
    <row r="200" spans="1:3" x14ac:dyDescent="0.25">
      <c r="A200" s="92">
        <v>36665</v>
      </c>
      <c r="B200" s="88" t="s">
        <v>18</v>
      </c>
      <c r="C200" s="44">
        <v>1</v>
      </c>
    </row>
    <row r="201" spans="1:3" x14ac:dyDescent="0.25">
      <c r="A201" s="92">
        <v>36768</v>
      </c>
      <c r="B201" s="88" t="s">
        <v>20</v>
      </c>
      <c r="C201" s="44">
        <v>1</v>
      </c>
    </row>
    <row r="202" spans="1:3" x14ac:dyDescent="0.25">
      <c r="A202" s="92">
        <v>36827</v>
      </c>
      <c r="B202" s="88" t="s">
        <v>248</v>
      </c>
      <c r="C202" s="43">
        <v>0.5</v>
      </c>
    </row>
    <row r="203" spans="1:3" x14ac:dyDescent="0.25">
      <c r="A203" s="92">
        <v>36828</v>
      </c>
      <c r="B203" s="88" t="s">
        <v>21</v>
      </c>
      <c r="C203" s="44">
        <v>1</v>
      </c>
    </row>
    <row r="204" spans="1:3" x14ac:dyDescent="0.25">
      <c r="A204" s="92">
        <v>36886</v>
      </c>
      <c r="B204" s="88" t="s">
        <v>248</v>
      </c>
      <c r="C204" s="43">
        <v>0.5</v>
      </c>
    </row>
    <row r="205" spans="1:3" x14ac:dyDescent="0.25">
      <c r="A205" s="93">
        <v>36887</v>
      </c>
      <c r="B205" s="65" t="s">
        <v>2290</v>
      </c>
      <c r="C205" s="44">
        <v>1</v>
      </c>
    </row>
    <row r="206" spans="1:3" x14ac:dyDescent="0.25">
      <c r="A206" s="92">
        <v>36888</v>
      </c>
      <c r="B206" s="88" t="s">
        <v>2290</v>
      </c>
      <c r="C206" s="44">
        <v>1</v>
      </c>
    </row>
    <row r="207" spans="1:3" x14ac:dyDescent="0.25">
      <c r="A207" s="92">
        <v>36889</v>
      </c>
      <c r="B207" s="88" t="s">
        <v>2290</v>
      </c>
      <c r="C207" s="44">
        <v>1</v>
      </c>
    </row>
    <row r="208" spans="1:3" x14ac:dyDescent="0.25">
      <c r="A208" s="92">
        <v>36892</v>
      </c>
      <c r="B208" s="88" t="s">
        <v>15</v>
      </c>
      <c r="C208" s="44">
        <v>1</v>
      </c>
    </row>
    <row r="209" spans="1:3" x14ac:dyDescent="0.25">
      <c r="A209" s="92">
        <v>36954</v>
      </c>
      <c r="B209" s="88" t="s">
        <v>248</v>
      </c>
      <c r="C209" s="43">
        <v>0.5</v>
      </c>
    </row>
    <row r="210" spans="1:3" x14ac:dyDescent="0.25">
      <c r="A210" s="92">
        <v>36955</v>
      </c>
      <c r="B210" s="88" t="s">
        <v>2289</v>
      </c>
      <c r="C210" s="44">
        <v>1</v>
      </c>
    </row>
    <row r="211" spans="1:3" x14ac:dyDescent="0.25">
      <c r="A211" s="92">
        <v>36956</v>
      </c>
      <c r="B211" s="88" t="s">
        <v>2289</v>
      </c>
      <c r="C211" s="44">
        <v>1</v>
      </c>
    </row>
    <row r="212" spans="1:3" x14ac:dyDescent="0.25">
      <c r="A212" s="92">
        <v>36957</v>
      </c>
      <c r="B212" s="88" t="s">
        <v>2289</v>
      </c>
      <c r="C212" s="44">
        <v>1</v>
      </c>
    </row>
    <row r="213" spans="1:3" x14ac:dyDescent="0.25">
      <c r="A213" s="92">
        <v>36958</v>
      </c>
      <c r="B213" s="88" t="s">
        <v>2289</v>
      </c>
      <c r="C213" s="44">
        <v>1</v>
      </c>
    </row>
    <row r="214" spans="1:3" x14ac:dyDescent="0.25">
      <c r="A214" s="92">
        <v>37004</v>
      </c>
      <c r="B214" s="88" t="s">
        <v>16</v>
      </c>
      <c r="C214" s="44">
        <v>1</v>
      </c>
    </row>
    <row r="215" spans="1:3" x14ac:dyDescent="0.25">
      <c r="A215" s="92">
        <v>37030</v>
      </c>
      <c r="B215" s="88" t="s">
        <v>18</v>
      </c>
      <c r="C215" s="44">
        <v>1</v>
      </c>
    </row>
    <row r="216" spans="1:3" x14ac:dyDescent="0.25">
      <c r="A216" s="92">
        <v>37133</v>
      </c>
      <c r="B216" s="88" t="s">
        <v>20</v>
      </c>
      <c r="C216" s="44">
        <v>1</v>
      </c>
    </row>
    <row r="217" spans="1:3" x14ac:dyDescent="0.25">
      <c r="A217" s="92">
        <v>37192</v>
      </c>
      <c r="B217" s="88" t="s">
        <v>248</v>
      </c>
      <c r="C217" s="43">
        <v>0.5</v>
      </c>
    </row>
    <row r="218" spans="1:3" x14ac:dyDescent="0.25">
      <c r="A218" s="92">
        <v>37193</v>
      </c>
      <c r="B218" s="88" t="s">
        <v>21</v>
      </c>
      <c r="C218" s="44">
        <v>1</v>
      </c>
    </row>
    <row r="219" spans="1:3" x14ac:dyDescent="0.25">
      <c r="A219" s="92">
        <v>37240</v>
      </c>
      <c r="B219" s="88" t="s">
        <v>248</v>
      </c>
      <c r="C219" s="43">
        <v>0.5</v>
      </c>
    </row>
    <row r="220" spans="1:3" x14ac:dyDescent="0.25">
      <c r="A220" s="92">
        <v>37241</v>
      </c>
      <c r="B220" s="88" t="s">
        <v>2290</v>
      </c>
      <c r="C220" s="44">
        <v>1</v>
      </c>
    </row>
    <row r="221" spans="1:3" x14ac:dyDescent="0.25">
      <c r="A221" s="92">
        <v>37242</v>
      </c>
      <c r="B221" s="88" t="s">
        <v>2290</v>
      </c>
      <c r="C221" s="44">
        <v>1</v>
      </c>
    </row>
    <row r="222" spans="1:3" x14ac:dyDescent="0.25">
      <c r="A222" s="92">
        <v>37243</v>
      </c>
      <c r="B222" s="88" t="s">
        <v>2290</v>
      </c>
      <c r="C222" s="44">
        <v>1</v>
      </c>
    </row>
    <row r="223" spans="1:3" x14ac:dyDescent="0.25">
      <c r="A223" s="92">
        <v>37257</v>
      </c>
      <c r="B223" s="88" t="s">
        <v>15</v>
      </c>
      <c r="C223" s="44">
        <v>1</v>
      </c>
    </row>
    <row r="224" spans="1:3" x14ac:dyDescent="0.25">
      <c r="A224" s="92">
        <v>37308</v>
      </c>
      <c r="B224" s="88" t="s">
        <v>248</v>
      </c>
      <c r="C224" s="43">
        <v>0.5</v>
      </c>
    </row>
    <row r="225" spans="1:3" x14ac:dyDescent="0.25">
      <c r="A225" s="92">
        <v>37309</v>
      </c>
      <c r="B225" s="88" t="s">
        <v>2289</v>
      </c>
      <c r="C225" s="44">
        <v>1</v>
      </c>
    </row>
    <row r="226" spans="1:3" x14ac:dyDescent="0.25">
      <c r="A226" s="92">
        <v>37310</v>
      </c>
      <c r="B226" s="88" t="s">
        <v>2289</v>
      </c>
      <c r="C226" s="44">
        <v>1</v>
      </c>
    </row>
    <row r="227" spans="1:3" x14ac:dyDescent="0.25">
      <c r="A227" s="92">
        <v>37311</v>
      </c>
      <c r="B227" s="88" t="s">
        <v>2289</v>
      </c>
      <c r="C227" s="44">
        <v>1</v>
      </c>
    </row>
    <row r="228" spans="1:3" x14ac:dyDescent="0.25">
      <c r="A228" s="92">
        <v>37312</v>
      </c>
      <c r="B228" s="88" t="s">
        <v>2289</v>
      </c>
      <c r="C228" s="44">
        <v>1</v>
      </c>
    </row>
    <row r="229" spans="1:3" x14ac:dyDescent="0.25">
      <c r="A229" s="92">
        <v>37369</v>
      </c>
      <c r="B229" s="88" t="s">
        <v>16</v>
      </c>
      <c r="C229" s="44">
        <v>1</v>
      </c>
    </row>
    <row r="230" spans="1:3" x14ac:dyDescent="0.25">
      <c r="A230" s="92">
        <v>37395</v>
      </c>
      <c r="B230" s="88" t="s">
        <v>18</v>
      </c>
      <c r="C230" s="44">
        <v>1</v>
      </c>
    </row>
    <row r="231" spans="1:3" x14ac:dyDescent="0.25">
      <c r="A231" s="92">
        <v>37498</v>
      </c>
      <c r="B231" s="88" t="s">
        <v>20</v>
      </c>
      <c r="C231" s="44">
        <v>1</v>
      </c>
    </row>
    <row r="232" spans="1:3" x14ac:dyDescent="0.25">
      <c r="A232" s="92">
        <v>37557</v>
      </c>
      <c r="B232" s="88" t="s">
        <v>248</v>
      </c>
      <c r="C232" s="43">
        <v>0.5</v>
      </c>
    </row>
    <row r="233" spans="1:3" x14ac:dyDescent="0.25">
      <c r="A233" s="92">
        <v>37558</v>
      </c>
      <c r="B233" s="88" t="s">
        <v>21</v>
      </c>
      <c r="C233" s="44">
        <v>1</v>
      </c>
    </row>
    <row r="234" spans="1:3" x14ac:dyDescent="0.25">
      <c r="A234" s="92">
        <v>37594</v>
      </c>
      <c r="B234" s="88" t="s">
        <v>248</v>
      </c>
      <c r="C234" s="43">
        <v>0.5</v>
      </c>
    </row>
    <row r="235" spans="1:3" x14ac:dyDescent="0.25">
      <c r="A235" s="92">
        <v>37595</v>
      </c>
      <c r="B235" s="88" t="s">
        <v>2290</v>
      </c>
      <c r="C235" s="44">
        <v>1</v>
      </c>
    </row>
    <row r="236" spans="1:3" x14ac:dyDescent="0.25">
      <c r="A236" s="92">
        <v>37596</v>
      </c>
      <c r="B236" s="88" t="s">
        <v>2290</v>
      </c>
      <c r="C236" s="44">
        <v>1</v>
      </c>
    </row>
    <row r="237" spans="1:3" x14ac:dyDescent="0.25">
      <c r="A237" s="92">
        <v>37597</v>
      </c>
      <c r="B237" s="88" t="s">
        <v>2290</v>
      </c>
      <c r="C237" s="44">
        <v>1</v>
      </c>
    </row>
    <row r="238" spans="1:3" x14ac:dyDescent="0.25">
      <c r="A238" s="92">
        <v>37622</v>
      </c>
      <c r="B238" s="88" t="s">
        <v>15</v>
      </c>
      <c r="C238" s="44">
        <v>1</v>
      </c>
    </row>
    <row r="239" spans="1:3" x14ac:dyDescent="0.25">
      <c r="A239" s="92">
        <v>37662</v>
      </c>
      <c r="B239" s="88" t="s">
        <v>248</v>
      </c>
      <c r="C239" s="43">
        <v>0.5</v>
      </c>
    </row>
    <row r="240" spans="1:3" x14ac:dyDescent="0.25">
      <c r="A240" s="92">
        <v>37663</v>
      </c>
      <c r="B240" s="88" t="s">
        <v>2289</v>
      </c>
      <c r="C240" s="44">
        <v>1</v>
      </c>
    </row>
    <row r="241" spans="1:3" x14ac:dyDescent="0.25">
      <c r="A241" s="92">
        <v>37664</v>
      </c>
      <c r="B241" s="88" t="s">
        <v>2289</v>
      </c>
      <c r="C241" s="44">
        <v>1</v>
      </c>
    </row>
    <row r="242" spans="1:3" x14ac:dyDescent="0.25">
      <c r="A242" s="92">
        <v>37665</v>
      </c>
      <c r="B242" s="88" t="s">
        <v>2289</v>
      </c>
      <c r="C242" s="44">
        <v>1</v>
      </c>
    </row>
    <row r="243" spans="1:3" x14ac:dyDescent="0.25">
      <c r="A243" s="92">
        <v>37666</v>
      </c>
      <c r="B243" s="88" t="s">
        <v>2289</v>
      </c>
      <c r="C243" s="44">
        <v>1</v>
      </c>
    </row>
    <row r="244" spans="1:3" x14ac:dyDescent="0.25">
      <c r="A244" s="92">
        <v>37734</v>
      </c>
      <c r="B244" s="88" t="s">
        <v>16</v>
      </c>
      <c r="C244" s="44">
        <v>1</v>
      </c>
    </row>
    <row r="245" spans="1:3" x14ac:dyDescent="0.25">
      <c r="A245" s="92">
        <v>37760</v>
      </c>
      <c r="B245" s="88" t="s">
        <v>18</v>
      </c>
      <c r="C245" s="44">
        <v>1</v>
      </c>
    </row>
    <row r="246" spans="1:3" x14ac:dyDescent="0.25">
      <c r="A246" s="92">
        <v>37863</v>
      </c>
      <c r="B246" s="88" t="s">
        <v>20</v>
      </c>
      <c r="C246" s="44">
        <v>1</v>
      </c>
    </row>
    <row r="247" spans="1:3" x14ac:dyDescent="0.25">
      <c r="A247" s="92">
        <v>37922</v>
      </c>
      <c r="B247" s="88" t="s">
        <v>248</v>
      </c>
      <c r="C247" s="43">
        <v>0.5</v>
      </c>
    </row>
    <row r="248" spans="1:3" x14ac:dyDescent="0.25">
      <c r="A248" s="92">
        <v>37923</v>
      </c>
      <c r="B248" s="88" t="s">
        <v>21</v>
      </c>
      <c r="C248" s="44">
        <v>1</v>
      </c>
    </row>
    <row r="249" spans="1:3" x14ac:dyDescent="0.25">
      <c r="A249" s="92">
        <v>37949</v>
      </c>
      <c r="B249" s="88" t="s">
        <v>248</v>
      </c>
      <c r="C249" s="43">
        <v>0.5</v>
      </c>
    </row>
    <row r="250" spans="1:3" x14ac:dyDescent="0.25">
      <c r="A250" s="92">
        <v>37950</v>
      </c>
      <c r="B250" s="88" t="s">
        <v>2290</v>
      </c>
      <c r="C250" s="44">
        <v>1</v>
      </c>
    </row>
    <row r="251" spans="1:3" x14ac:dyDescent="0.25">
      <c r="A251" s="92">
        <v>37951</v>
      </c>
      <c r="B251" s="88" t="s">
        <v>2290</v>
      </c>
      <c r="C251" s="44">
        <v>1</v>
      </c>
    </row>
    <row r="252" spans="1:3" x14ac:dyDescent="0.25">
      <c r="A252" s="92">
        <v>37952</v>
      </c>
      <c r="B252" s="88" t="s">
        <v>2290</v>
      </c>
      <c r="C252" s="44">
        <v>1</v>
      </c>
    </row>
    <row r="253" spans="1:3" x14ac:dyDescent="0.25">
      <c r="A253" s="92">
        <v>37987</v>
      </c>
      <c r="B253" s="88" t="s">
        <v>15</v>
      </c>
      <c r="C253" s="44">
        <v>1</v>
      </c>
    </row>
    <row r="254" spans="1:3" x14ac:dyDescent="0.25">
      <c r="A254" s="92">
        <v>38017</v>
      </c>
      <c r="B254" s="88" t="s">
        <v>248</v>
      </c>
      <c r="C254" s="43">
        <v>0.5</v>
      </c>
    </row>
    <row r="255" spans="1:3" x14ac:dyDescent="0.25">
      <c r="A255" s="92">
        <v>38018</v>
      </c>
      <c r="B255" s="88" t="s">
        <v>2289</v>
      </c>
      <c r="C255" s="44">
        <v>1</v>
      </c>
    </row>
    <row r="256" spans="1:3" x14ac:dyDescent="0.25">
      <c r="A256" s="92">
        <v>38019</v>
      </c>
      <c r="B256" s="88" t="s">
        <v>2289</v>
      </c>
      <c r="C256" s="44">
        <v>1</v>
      </c>
    </row>
    <row r="257" spans="1:3" x14ac:dyDescent="0.25">
      <c r="A257" s="92">
        <v>38020</v>
      </c>
      <c r="B257" s="88" t="s">
        <v>2289</v>
      </c>
      <c r="C257" s="44">
        <v>1</v>
      </c>
    </row>
    <row r="258" spans="1:3" x14ac:dyDescent="0.25">
      <c r="A258" s="92">
        <v>38021</v>
      </c>
      <c r="B258" s="88" t="s">
        <v>2289</v>
      </c>
      <c r="C258" s="44">
        <v>1</v>
      </c>
    </row>
    <row r="259" spans="1:3" x14ac:dyDescent="0.25">
      <c r="A259" s="92">
        <v>38100</v>
      </c>
      <c r="B259" s="88" t="s">
        <v>16</v>
      </c>
      <c r="C259" s="44">
        <v>1</v>
      </c>
    </row>
    <row r="260" spans="1:3" x14ac:dyDescent="0.25">
      <c r="A260" s="92">
        <v>38126</v>
      </c>
      <c r="B260" s="88" t="s">
        <v>18</v>
      </c>
      <c r="C260" s="44">
        <v>1</v>
      </c>
    </row>
    <row r="261" spans="1:3" x14ac:dyDescent="0.25">
      <c r="A261" s="92">
        <v>38229</v>
      </c>
      <c r="B261" s="88" t="s">
        <v>20</v>
      </c>
      <c r="C261" s="44">
        <v>1</v>
      </c>
    </row>
    <row r="262" spans="1:3" x14ac:dyDescent="0.25">
      <c r="A262" s="92">
        <v>38288</v>
      </c>
      <c r="B262" s="88" t="s">
        <v>248</v>
      </c>
      <c r="C262" s="43">
        <v>0.5</v>
      </c>
    </row>
    <row r="263" spans="1:3" x14ac:dyDescent="0.25">
      <c r="A263" s="92">
        <v>38289</v>
      </c>
      <c r="B263" s="88" t="s">
        <v>21</v>
      </c>
      <c r="C263" s="44">
        <v>1</v>
      </c>
    </row>
    <row r="264" spans="1:3" x14ac:dyDescent="0.25">
      <c r="A264" s="92">
        <v>38304</v>
      </c>
      <c r="B264" s="88" t="s">
        <v>248</v>
      </c>
      <c r="C264" s="43">
        <v>0.5</v>
      </c>
    </row>
    <row r="265" spans="1:3" x14ac:dyDescent="0.25">
      <c r="A265" s="92">
        <v>38305</v>
      </c>
      <c r="B265" s="88" t="s">
        <v>2290</v>
      </c>
      <c r="C265" s="44">
        <v>1</v>
      </c>
    </row>
    <row r="266" spans="1:3" x14ac:dyDescent="0.25">
      <c r="A266" s="92">
        <v>38306</v>
      </c>
      <c r="B266" s="88" t="s">
        <v>2290</v>
      </c>
      <c r="C266" s="44">
        <v>1</v>
      </c>
    </row>
    <row r="267" spans="1:3" x14ac:dyDescent="0.25">
      <c r="A267" s="92">
        <v>38307</v>
      </c>
      <c r="B267" s="88" t="s">
        <v>2290</v>
      </c>
      <c r="C267" s="44">
        <v>1</v>
      </c>
    </row>
    <row r="268" spans="1:3" x14ac:dyDescent="0.25">
      <c r="A268" s="92">
        <v>38353</v>
      </c>
      <c r="B268" s="88" t="s">
        <v>15</v>
      </c>
      <c r="C268" s="44">
        <v>1</v>
      </c>
    </row>
    <row r="269" spans="1:3" x14ac:dyDescent="0.25">
      <c r="A269" s="92">
        <v>38371</v>
      </c>
      <c r="B269" s="88" t="s">
        <v>248</v>
      </c>
      <c r="C269" s="43">
        <v>0.5</v>
      </c>
    </row>
    <row r="270" spans="1:3" x14ac:dyDescent="0.25">
      <c r="A270" s="92">
        <v>38372</v>
      </c>
      <c r="B270" s="88" t="s">
        <v>2289</v>
      </c>
      <c r="C270" s="44">
        <v>1</v>
      </c>
    </row>
    <row r="271" spans="1:3" x14ac:dyDescent="0.25">
      <c r="A271" s="92">
        <v>38373</v>
      </c>
      <c r="B271" s="88" t="s">
        <v>2289</v>
      </c>
      <c r="C271" s="44">
        <v>1</v>
      </c>
    </row>
    <row r="272" spans="1:3" x14ac:dyDescent="0.25">
      <c r="A272" s="92">
        <v>38374</v>
      </c>
      <c r="B272" s="88" t="s">
        <v>2289</v>
      </c>
      <c r="C272" s="44">
        <v>1</v>
      </c>
    </row>
    <row r="273" spans="1:3" x14ac:dyDescent="0.25">
      <c r="A273" s="92">
        <v>38375</v>
      </c>
      <c r="B273" s="88" t="s">
        <v>2289</v>
      </c>
      <c r="C273" s="44">
        <v>1</v>
      </c>
    </row>
    <row r="274" spans="1:3" x14ac:dyDescent="0.25">
      <c r="A274" s="92">
        <v>38465</v>
      </c>
      <c r="B274" s="88" t="s">
        <v>16</v>
      </c>
      <c r="C274" s="44">
        <v>1</v>
      </c>
    </row>
    <row r="275" spans="1:3" x14ac:dyDescent="0.25">
      <c r="A275" s="92">
        <v>38491</v>
      </c>
      <c r="B275" s="88" t="s">
        <v>18</v>
      </c>
      <c r="C275" s="44">
        <v>1</v>
      </c>
    </row>
    <row r="276" spans="1:3" x14ac:dyDescent="0.25">
      <c r="A276" s="92">
        <v>38594</v>
      </c>
      <c r="B276" s="88" t="s">
        <v>20</v>
      </c>
      <c r="C276" s="44">
        <v>1</v>
      </c>
    </row>
    <row r="277" spans="1:3" x14ac:dyDescent="0.25">
      <c r="A277" s="92">
        <v>38653</v>
      </c>
      <c r="B277" s="88" t="s">
        <v>248</v>
      </c>
      <c r="C277" s="43">
        <v>0.5</v>
      </c>
    </row>
    <row r="278" spans="1:3" x14ac:dyDescent="0.25">
      <c r="A278" s="92">
        <v>38654</v>
      </c>
      <c r="B278" s="88" t="s">
        <v>21</v>
      </c>
      <c r="C278" s="44">
        <v>1</v>
      </c>
    </row>
    <row r="279" spans="1:3" x14ac:dyDescent="0.25">
      <c r="A279" s="92">
        <v>38658</v>
      </c>
      <c r="B279" s="88" t="s">
        <v>248</v>
      </c>
      <c r="C279" s="43">
        <v>0.5</v>
      </c>
    </row>
    <row r="280" spans="1:3" x14ac:dyDescent="0.25">
      <c r="A280" s="92">
        <v>38659</v>
      </c>
      <c r="B280" s="88" t="s">
        <v>2290</v>
      </c>
      <c r="C280" s="44">
        <v>1</v>
      </c>
    </row>
    <row r="281" spans="1:3" x14ac:dyDescent="0.25">
      <c r="A281" s="92">
        <v>38660</v>
      </c>
      <c r="B281" s="88" t="s">
        <v>2290</v>
      </c>
      <c r="C281" s="44">
        <v>1</v>
      </c>
    </row>
    <row r="282" spans="1:3" x14ac:dyDescent="0.25">
      <c r="A282" s="92">
        <v>38661</v>
      </c>
      <c r="B282" s="88" t="s">
        <v>2290</v>
      </c>
      <c r="C282" s="44">
        <v>1</v>
      </c>
    </row>
    <row r="283" spans="1:3" x14ac:dyDescent="0.25">
      <c r="A283" s="92">
        <v>38718</v>
      </c>
      <c r="B283" s="88" t="s">
        <v>15</v>
      </c>
      <c r="C283" s="44">
        <v>1</v>
      </c>
    </row>
    <row r="284" spans="1:3" x14ac:dyDescent="0.25">
      <c r="A284" s="92">
        <v>38726</v>
      </c>
      <c r="B284" s="88" t="s">
        <v>248</v>
      </c>
      <c r="C284" s="43">
        <v>0.5</v>
      </c>
    </row>
    <row r="285" spans="1:3" x14ac:dyDescent="0.25">
      <c r="A285" s="92">
        <v>38727</v>
      </c>
      <c r="B285" s="88" t="s">
        <v>2289</v>
      </c>
      <c r="C285" s="44">
        <v>1</v>
      </c>
    </row>
    <row r="286" spans="1:3" x14ac:dyDescent="0.25">
      <c r="A286" s="92">
        <v>38728</v>
      </c>
      <c r="B286" s="88" t="s">
        <v>2289</v>
      </c>
      <c r="C286" s="44">
        <v>1</v>
      </c>
    </row>
    <row r="287" spans="1:3" x14ac:dyDescent="0.25">
      <c r="A287" s="92">
        <v>38729</v>
      </c>
      <c r="B287" s="88" t="s">
        <v>2289</v>
      </c>
      <c r="C287" s="44">
        <v>1</v>
      </c>
    </row>
    <row r="288" spans="1:3" x14ac:dyDescent="0.25">
      <c r="A288" s="92">
        <v>38730</v>
      </c>
      <c r="B288" s="88" t="s">
        <v>2289</v>
      </c>
      <c r="C288" s="44">
        <v>1</v>
      </c>
    </row>
    <row r="289" spans="1:3" x14ac:dyDescent="0.25">
      <c r="A289" s="92">
        <v>38830</v>
      </c>
      <c r="B289" s="88" t="s">
        <v>16</v>
      </c>
      <c r="C289" s="44">
        <v>1</v>
      </c>
    </row>
    <row r="290" spans="1:3" x14ac:dyDescent="0.25">
      <c r="A290" s="92">
        <v>38856</v>
      </c>
      <c r="B290" s="88" t="s">
        <v>18</v>
      </c>
      <c r="C290" s="44">
        <v>1</v>
      </c>
    </row>
    <row r="291" spans="1:3" x14ac:dyDescent="0.25">
      <c r="A291" s="92">
        <v>38959</v>
      </c>
      <c r="B291" s="88" t="s">
        <v>20</v>
      </c>
      <c r="C291" s="44">
        <v>1</v>
      </c>
    </row>
    <row r="292" spans="1:3" x14ac:dyDescent="0.25">
      <c r="A292" s="92">
        <v>39012</v>
      </c>
      <c r="B292" s="88" t="s">
        <v>248</v>
      </c>
      <c r="C292" s="43">
        <v>0.5</v>
      </c>
    </row>
    <row r="293" spans="1:3" x14ac:dyDescent="0.25">
      <c r="A293" s="92">
        <v>39013</v>
      </c>
      <c r="B293" s="88" t="s">
        <v>2290</v>
      </c>
      <c r="C293" s="44">
        <v>1</v>
      </c>
    </row>
    <row r="294" spans="1:3" x14ac:dyDescent="0.25">
      <c r="A294" s="92">
        <v>39014</v>
      </c>
      <c r="B294" s="88" t="s">
        <v>2290</v>
      </c>
      <c r="C294" s="44">
        <v>1</v>
      </c>
    </row>
    <row r="295" spans="1:3" x14ac:dyDescent="0.25">
      <c r="A295" s="92">
        <v>39015</v>
      </c>
      <c r="B295" s="88" t="s">
        <v>2290</v>
      </c>
      <c r="C295" s="44">
        <v>1</v>
      </c>
    </row>
    <row r="296" spans="1:3" x14ac:dyDescent="0.25">
      <c r="A296" s="92">
        <v>39018</v>
      </c>
      <c r="B296" s="88" t="s">
        <v>248</v>
      </c>
      <c r="C296" s="43">
        <v>0.5</v>
      </c>
    </row>
    <row r="297" spans="1:3" x14ac:dyDescent="0.25">
      <c r="A297" s="92">
        <v>39019</v>
      </c>
      <c r="B297" s="88" t="s">
        <v>21</v>
      </c>
      <c r="C297" s="44">
        <v>1</v>
      </c>
    </row>
    <row r="298" spans="1:3" x14ac:dyDescent="0.25">
      <c r="A298" s="92">
        <v>39081</v>
      </c>
      <c r="B298" s="88" t="s">
        <v>248</v>
      </c>
      <c r="C298" s="43">
        <v>0.5</v>
      </c>
    </row>
    <row r="299" spans="1:3" x14ac:dyDescent="0.25">
      <c r="A299" s="92">
        <v>39082</v>
      </c>
      <c r="B299" s="88" t="s">
        <v>2289</v>
      </c>
      <c r="C299" s="44">
        <v>1</v>
      </c>
    </row>
    <row r="300" spans="1:3" x14ac:dyDescent="0.25">
      <c r="A300" s="92">
        <v>39083</v>
      </c>
      <c r="B300" s="88" t="s">
        <v>15</v>
      </c>
      <c r="C300" s="44">
        <v>1</v>
      </c>
    </row>
    <row r="301" spans="1:3" x14ac:dyDescent="0.25">
      <c r="A301" s="92">
        <v>39083</v>
      </c>
      <c r="B301" s="88" t="s">
        <v>2289</v>
      </c>
      <c r="C301" s="44">
        <v>1</v>
      </c>
    </row>
    <row r="302" spans="1:3" x14ac:dyDescent="0.25">
      <c r="A302" s="92">
        <v>39084</v>
      </c>
      <c r="B302" s="88" t="s">
        <v>2289</v>
      </c>
      <c r="C302" s="44">
        <v>1</v>
      </c>
    </row>
    <row r="303" spans="1:3" x14ac:dyDescent="0.25">
      <c r="A303" s="92">
        <v>39085</v>
      </c>
      <c r="B303" s="88" t="s">
        <v>2289</v>
      </c>
      <c r="C303" s="44">
        <v>1</v>
      </c>
    </row>
    <row r="304" spans="1:3" x14ac:dyDescent="0.25">
      <c r="A304" s="92">
        <v>39195</v>
      </c>
      <c r="B304" s="88" t="s">
        <v>16</v>
      </c>
      <c r="C304" s="44">
        <v>1</v>
      </c>
    </row>
    <row r="305" spans="1:3" x14ac:dyDescent="0.25">
      <c r="A305" s="92">
        <v>39221</v>
      </c>
      <c r="B305" s="88" t="s">
        <v>18</v>
      </c>
      <c r="C305" s="44">
        <v>1</v>
      </c>
    </row>
    <row r="306" spans="1:3" x14ac:dyDescent="0.25">
      <c r="A306" s="92">
        <v>39324</v>
      </c>
      <c r="B306" s="88" t="s">
        <v>20</v>
      </c>
      <c r="C306" s="44">
        <v>1</v>
      </c>
    </row>
    <row r="307" spans="1:3" x14ac:dyDescent="0.25">
      <c r="A307" s="92">
        <v>39366</v>
      </c>
      <c r="B307" s="88" t="s">
        <v>248</v>
      </c>
      <c r="C307" s="43">
        <v>0.5</v>
      </c>
    </row>
    <row r="308" spans="1:3" x14ac:dyDescent="0.25">
      <c r="A308" s="92">
        <v>39367</v>
      </c>
      <c r="B308" s="88" t="s">
        <v>2290</v>
      </c>
      <c r="C308" s="44">
        <v>1</v>
      </c>
    </row>
    <row r="309" spans="1:3" x14ac:dyDescent="0.25">
      <c r="A309" s="92">
        <v>39368</v>
      </c>
      <c r="B309" s="88" t="s">
        <v>2290</v>
      </c>
      <c r="C309" s="44">
        <v>1</v>
      </c>
    </row>
    <row r="310" spans="1:3" x14ac:dyDescent="0.25">
      <c r="A310" s="92">
        <v>39369</v>
      </c>
      <c r="B310" s="88" t="s">
        <v>2290</v>
      </c>
      <c r="C310" s="44">
        <v>1</v>
      </c>
    </row>
    <row r="311" spans="1:3" x14ac:dyDescent="0.25">
      <c r="A311" s="92">
        <v>39383</v>
      </c>
      <c r="B311" s="88" t="s">
        <v>248</v>
      </c>
      <c r="C311" s="43">
        <v>0.5</v>
      </c>
    </row>
    <row r="312" spans="1:3" x14ac:dyDescent="0.25">
      <c r="A312" s="92">
        <v>39384</v>
      </c>
      <c r="B312" s="88" t="s">
        <v>21</v>
      </c>
      <c r="C312" s="44">
        <v>1</v>
      </c>
    </row>
    <row r="313" spans="1:3" x14ac:dyDescent="0.25">
      <c r="A313" s="92">
        <v>39435</v>
      </c>
      <c r="B313" s="88" t="s">
        <v>248</v>
      </c>
      <c r="C313" s="43">
        <v>0.5</v>
      </c>
    </row>
    <row r="314" spans="1:3" x14ac:dyDescent="0.25">
      <c r="A314" s="92">
        <v>39436</v>
      </c>
      <c r="B314" s="88" t="s">
        <v>2289</v>
      </c>
      <c r="C314" s="44">
        <v>1</v>
      </c>
    </row>
    <row r="315" spans="1:3" x14ac:dyDescent="0.25">
      <c r="A315" s="92">
        <v>39437</v>
      </c>
      <c r="B315" s="88" t="s">
        <v>2289</v>
      </c>
      <c r="C315" s="44">
        <v>1</v>
      </c>
    </row>
    <row r="316" spans="1:3" x14ac:dyDescent="0.25">
      <c r="A316" s="92">
        <v>39438</v>
      </c>
      <c r="B316" s="88" t="s">
        <v>2289</v>
      </c>
      <c r="C316" s="44">
        <v>1</v>
      </c>
    </row>
    <row r="317" spans="1:3" x14ac:dyDescent="0.25">
      <c r="A317" s="92">
        <v>39439</v>
      </c>
      <c r="B317" s="88" t="s">
        <v>2289</v>
      </c>
      <c r="C317" s="44">
        <v>1</v>
      </c>
    </row>
    <row r="318" spans="1:3" x14ac:dyDescent="0.25">
      <c r="A318" s="92">
        <v>39448</v>
      </c>
      <c r="B318" s="88" t="s">
        <v>15</v>
      </c>
      <c r="C318" s="44">
        <v>1</v>
      </c>
    </row>
    <row r="319" spans="1:3" x14ac:dyDescent="0.25">
      <c r="A319" s="92">
        <v>39561</v>
      </c>
      <c r="B319" s="88" t="s">
        <v>16</v>
      </c>
      <c r="C319" s="44">
        <v>1</v>
      </c>
    </row>
    <row r="320" spans="1:3" x14ac:dyDescent="0.25">
      <c r="A320" s="92">
        <v>39587</v>
      </c>
      <c r="B320" s="88" t="s">
        <v>18</v>
      </c>
      <c r="C320" s="44">
        <v>1</v>
      </c>
    </row>
    <row r="321" spans="1:3" x14ac:dyDescent="0.25">
      <c r="A321" s="92">
        <v>39690</v>
      </c>
      <c r="B321" s="88" t="s">
        <v>20</v>
      </c>
      <c r="C321" s="44">
        <v>1</v>
      </c>
    </row>
    <row r="322" spans="1:3" x14ac:dyDescent="0.25">
      <c r="A322" s="92">
        <v>39720</v>
      </c>
      <c r="B322" s="88" t="s">
        <v>248</v>
      </c>
      <c r="C322" s="43">
        <v>0.5</v>
      </c>
    </row>
    <row r="323" spans="1:3" x14ac:dyDescent="0.25">
      <c r="A323" s="92">
        <v>39721</v>
      </c>
      <c r="B323" s="88" t="s">
        <v>2290</v>
      </c>
      <c r="C323" s="44">
        <v>1</v>
      </c>
    </row>
    <row r="324" spans="1:3" x14ac:dyDescent="0.25">
      <c r="A324" s="92">
        <v>39722</v>
      </c>
      <c r="B324" s="88" t="s">
        <v>2290</v>
      </c>
      <c r="C324" s="44">
        <v>1</v>
      </c>
    </row>
    <row r="325" spans="1:3" x14ac:dyDescent="0.25">
      <c r="A325" s="92">
        <v>39723</v>
      </c>
      <c r="B325" s="88" t="s">
        <v>2290</v>
      </c>
      <c r="C325" s="44">
        <v>1</v>
      </c>
    </row>
    <row r="326" spans="1:3" x14ac:dyDescent="0.25">
      <c r="A326" s="92">
        <v>39749</v>
      </c>
      <c r="B326" s="88" t="s">
        <v>248</v>
      </c>
      <c r="C326" s="43">
        <v>0.5</v>
      </c>
    </row>
    <row r="327" spans="1:3" x14ac:dyDescent="0.25">
      <c r="A327" s="92">
        <v>39750</v>
      </c>
      <c r="B327" s="88" t="s">
        <v>21</v>
      </c>
      <c r="C327" s="44">
        <v>1</v>
      </c>
    </row>
    <row r="328" spans="1:3" x14ac:dyDescent="0.25">
      <c r="A328" s="92">
        <v>39789</v>
      </c>
      <c r="B328" s="88" t="s">
        <v>248</v>
      </c>
      <c r="C328" s="43">
        <v>0.5</v>
      </c>
    </row>
    <row r="329" spans="1:3" x14ac:dyDescent="0.25">
      <c r="A329" s="92">
        <v>39790</v>
      </c>
      <c r="B329" s="88" t="s">
        <v>2289</v>
      </c>
      <c r="C329" s="44">
        <v>1</v>
      </c>
    </row>
    <row r="330" spans="1:3" x14ac:dyDescent="0.25">
      <c r="A330" s="92">
        <v>39791</v>
      </c>
      <c r="B330" s="88" t="s">
        <v>2289</v>
      </c>
      <c r="C330" s="44">
        <v>1</v>
      </c>
    </row>
    <row r="331" spans="1:3" x14ac:dyDescent="0.25">
      <c r="A331" s="92">
        <v>39792</v>
      </c>
      <c r="B331" s="88" t="s">
        <v>2289</v>
      </c>
      <c r="C331" s="44">
        <v>1</v>
      </c>
    </row>
    <row r="332" spans="1:3" x14ac:dyDescent="0.25">
      <c r="A332" s="92">
        <v>39793</v>
      </c>
      <c r="B332" s="88" t="s">
        <v>2289</v>
      </c>
      <c r="C332" s="44">
        <v>1</v>
      </c>
    </row>
    <row r="333" spans="1:3" x14ac:dyDescent="0.25">
      <c r="A333" s="92">
        <v>39814</v>
      </c>
      <c r="B333" s="88" t="s">
        <v>15</v>
      </c>
      <c r="C333" s="44">
        <v>1</v>
      </c>
    </row>
    <row r="334" spans="1:3" x14ac:dyDescent="0.25">
      <c r="A334" s="92">
        <v>39926</v>
      </c>
      <c r="B334" s="88" t="s">
        <v>16</v>
      </c>
      <c r="C334" s="44">
        <v>1</v>
      </c>
    </row>
    <row r="335" spans="1:3" x14ac:dyDescent="0.25">
      <c r="A335" s="92">
        <v>39934</v>
      </c>
      <c r="B335" s="88" t="s">
        <v>17</v>
      </c>
      <c r="C335" s="44">
        <v>1</v>
      </c>
    </row>
    <row r="336" spans="1:3" x14ac:dyDescent="0.25">
      <c r="A336" s="92">
        <v>39952</v>
      </c>
      <c r="B336" s="88" t="s">
        <v>18</v>
      </c>
      <c r="C336" s="44">
        <v>1</v>
      </c>
    </row>
    <row r="337" spans="1:3" x14ac:dyDescent="0.25">
      <c r="A337" s="92">
        <v>40055</v>
      </c>
      <c r="B337" s="88" t="s">
        <v>20</v>
      </c>
      <c r="C337" s="44">
        <v>1</v>
      </c>
    </row>
    <row r="338" spans="1:3" x14ac:dyDescent="0.25">
      <c r="A338" s="92">
        <v>40075</v>
      </c>
      <c r="B338" s="88" t="s">
        <v>248</v>
      </c>
      <c r="C338" s="43">
        <v>0.5</v>
      </c>
    </row>
    <row r="339" spans="1:3" x14ac:dyDescent="0.25">
      <c r="A339" s="92">
        <v>40076</v>
      </c>
      <c r="B339" s="88" t="s">
        <v>2290</v>
      </c>
      <c r="C339" s="44">
        <v>1</v>
      </c>
    </row>
    <row r="340" spans="1:3" x14ac:dyDescent="0.25">
      <c r="A340" s="92">
        <v>40077</v>
      </c>
      <c r="B340" s="88" t="s">
        <v>2290</v>
      </c>
      <c r="C340" s="44">
        <v>1</v>
      </c>
    </row>
    <row r="341" spans="1:3" x14ac:dyDescent="0.25">
      <c r="A341" s="92">
        <v>40078</v>
      </c>
      <c r="B341" s="88" t="s">
        <v>2290</v>
      </c>
      <c r="C341" s="44">
        <v>1</v>
      </c>
    </row>
    <row r="342" spans="1:3" x14ac:dyDescent="0.25">
      <c r="A342" s="92">
        <v>40114</v>
      </c>
      <c r="B342" s="88" t="s">
        <v>248</v>
      </c>
      <c r="C342" s="43">
        <v>0.5</v>
      </c>
    </row>
    <row r="343" spans="1:3" x14ac:dyDescent="0.25">
      <c r="A343" s="92">
        <v>40115</v>
      </c>
      <c r="B343" s="88" t="s">
        <v>21</v>
      </c>
      <c r="C343" s="44">
        <v>1</v>
      </c>
    </row>
    <row r="344" spans="1:3" x14ac:dyDescent="0.25">
      <c r="A344" s="92">
        <v>40143</v>
      </c>
      <c r="B344" s="88" t="s">
        <v>248</v>
      </c>
      <c r="C344" s="43">
        <v>0.5</v>
      </c>
    </row>
    <row r="345" spans="1:3" x14ac:dyDescent="0.25">
      <c r="A345" s="92">
        <v>40144</v>
      </c>
      <c r="B345" s="88" t="s">
        <v>2289</v>
      </c>
      <c r="C345" s="44">
        <v>1</v>
      </c>
    </row>
    <row r="346" spans="1:3" x14ac:dyDescent="0.25">
      <c r="A346" s="92">
        <v>40145</v>
      </c>
      <c r="B346" s="88" t="s">
        <v>2289</v>
      </c>
      <c r="C346" s="44">
        <v>1</v>
      </c>
    </row>
    <row r="347" spans="1:3" x14ac:dyDescent="0.25">
      <c r="A347" s="92">
        <v>40146</v>
      </c>
      <c r="B347" s="88" t="s">
        <v>2289</v>
      </c>
      <c r="C347" s="44">
        <v>1</v>
      </c>
    </row>
    <row r="348" spans="1:3" x14ac:dyDescent="0.25">
      <c r="A348" s="92">
        <v>40147</v>
      </c>
      <c r="B348" s="88" t="s">
        <v>2289</v>
      </c>
      <c r="C348" s="44">
        <v>1</v>
      </c>
    </row>
    <row r="349" spans="1:3" x14ac:dyDescent="0.25">
      <c r="A349" s="92">
        <v>40179</v>
      </c>
      <c r="B349" s="88" t="s">
        <v>15</v>
      </c>
      <c r="C349" s="44">
        <v>1</v>
      </c>
    </row>
    <row r="350" spans="1:3" x14ac:dyDescent="0.25">
      <c r="A350" s="92">
        <v>40291</v>
      </c>
      <c r="B350" s="88" t="s">
        <v>16</v>
      </c>
      <c r="C350" s="44">
        <v>1</v>
      </c>
    </row>
    <row r="351" spans="1:3" x14ac:dyDescent="0.25">
      <c r="A351" s="92">
        <v>40299</v>
      </c>
      <c r="B351" s="88" t="s">
        <v>17</v>
      </c>
      <c r="C351" s="44">
        <v>1</v>
      </c>
    </row>
    <row r="352" spans="1:3" x14ac:dyDescent="0.25">
      <c r="A352" s="92">
        <v>40317</v>
      </c>
      <c r="B352" s="88" t="s">
        <v>18</v>
      </c>
      <c r="C352" s="44">
        <v>1</v>
      </c>
    </row>
    <row r="353" spans="1:3" x14ac:dyDescent="0.25">
      <c r="A353" s="92">
        <v>40420</v>
      </c>
      <c r="B353" s="88" t="s">
        <v>20</v>
      </c>
      <c r="C353" s="44">
        <v>1</v>
      </c>
    </row>
    <row r="354" spans="1:3" x14ac:dyDescent="0.25">
      <c r="A354" s="92">
        <v>40429</v>
      </c>
      <c r="B354" s="88" t="s">
        <v>248</v>
      </c>
      <c r="C354" s="43">
        <v>0.5</v>
      </c>
    </row>
    <row r="355" spans="1:3" x14ac:dyDescent="0.25">
      <c r="A355" s="92">
        <v>40430</v>
      </c>
      <c r="B355" s="88" t="s">
        <v>2290</v>
      </c>
      <c r="C355" s="44">
        <v>1</v>
      </c>
    </row>
    <row r="356" spans="1:3" x14ac:dyDescent="0.25">
      <c r="A356" s="92">
        <v>40431</v>
      </c>
      <c r="B356" s="88" t="s">
        <v>2290</v>
      </c>
      <c r="C356" s="44">
        <v>1</v>
      </c>
    </row>
    <row r="357" spans="1:3" x14ac:dyDescent="0.25">
      <c r="A357" s="92">
        <v>40432</v>
      </c>
      <c r="B357" s="88" t="s">
        <v>2290</v>
      </c>
      <c r="C357" s="44">
        <v>1</v>
      </c>
    </row>
    <row r="358" spans="1:3" x14ac:dyDescent="0.25">
      <c r="A358" s="92">
        <v>40479</v>
      </c>
      <c r="B358" s="88" t="s">
        <v>248</v>
      </c>
      <c r="C358" s="43">
        <v>0.5</v>
      </c>
    </row>
    <row r="359" spans="1:3" x14ac:dyDescent="0.25">
      <c r="A359" s="92">
        <v>40480</v>
      </c>
      <c r="B359" s="88" t="s">
        <v>21</v>
      </c>
      <c r="C359" s="44">
        <v>1</v>
      </c>
    </row>
    <row r="360" spans="1:3" x14ac:dyDescent="0.25">
      <c r="A360" s="92">
        <v>40497</v>
      </c>
      <c r="B360" s="88" t="s">
        <v>248</v>
      </c>
      <c r="C360" s="43">
        <v>0.5</v>
      </c>
    </row>
    <row r="361" spans="1:3" x14ac:dyDescent="0.25">
      <c r="A361" s="92">
        <v>40498</v>
      </c>
      <c r="B361" s="88" t="s">
        <v>2289</v>
      </c>
      <c r="C361" s="44">
        <v>1</v>
      </c>
    </row>
    <row r="362" spans="1:3" x14ac:dyDescent="0.25">
      <c r="A362" s="92">
        <v>40499</v>
      </c>
      <c r="B362" s="88" t="s">
        <v>2289</v>
      </c>
      <c r="C362" s="44">
        <v>1</v>
      </c>
    </row>
    <row r="363" spans="1:3" x14ac:dyDescent="0.25">
      <c r="A363" s="92">
        <v>40500</v>
      </c>
      <c r="B363" s="88" t="s">
        <v>2289</v>
      </c>
      <c r="C363" s="44">
        <v>1</v>
      </c>
    </row>
    <row r="364" spans="1:3" x14ac:dyDescent="0.25">
      <c r="A364" s="92">
        <v>40501</v>
      </c>
      <c r="B364" s="88" t="s">
        <v>2289</v>
      </c>
      <c r="C364" s="44">
        <v>1</v>
      </c>
    </row>
    <row r="365" spans="1:3" x14ac:dyDescent="0.25">
      <c r="A365" s="92">
        <v>40544</v>
      </c>
      <c r="B365" s="88" t="s">
        <v>15</v>
      </c>
      <c r="C365" s="44">
        <v>1</v>
      </c>
    </row>
    <row r="366" spans="1:3" x14ac:dyDescent="0.25">
      <c r="A366" s="92">
        <v>40656</v>
      </c>
      <c r="B366" s="88" t="s">
        <v>16</v>
      </c>
      <c r="C366" s="44">
        <v>1</v>
      </c>
    </row>
    <row r="367" spans="1:3" x14ac:dyDescent="0.25">
      <c r="A367" s="92">
        <v>40664</v>
      </c>
      <c r="B367" s="88" t="s">
        <v>17</v>
      </c>
      <c r="C367" s="44">
        <v>1</v>
      </c>
    </row>
    <row r="368" spans="1:3" x14ac:dyDescent="0.25">
      <c r="A368" s="92">
        <v>40682</v>
      </c>
      <c r="B368" s="88" t="s">
        <v>18</v>
      </c>
      <c r="C368" s="44">
        <v>1</v>
      </c>
    </row>
    <row r="369" spans="1:3" x14ac:dyDescent="0.25">
      <c r="A369" s="92">
        <v>40784</v>
      </c>
      <c r="B369" s="88" t="s">
        <v>248</v>
      </c>
      <c r="C369" s="43">
        <v>0.5</v>
      </c>
    </row>
    <row r="370" spans="1:3" x14ac:dyDescent="0.25">
      <c r="A370" s="92">
        <v>40785</v>
      </c>
      <c r="B370" s="88" t="s">
        <v>2290</v>
      </c>
      <c r="C370" s="44">
        <v>1</v>
      </c>
    </row>
    <row r="371" spans="1:3" x14ac:dyDescent="0.25">
      <c r="A371" s="92">
        <v>40785</v>
      </c>
      <c r="B371" s="88" t="s">
        <v>20</v>
      </c>
      <c r="C371" s="44">
        <v>1</v>
      </c>
    </row>
    <row r="372" spans="1:3" x14ac:dyDescent="0.25">
      <c r="A372" s="92">
        <v>40786</v>
      </c>
      <c r="B372" s="88" t="s">
        <v>2290</v>
      </c>
      <c r="C372" s="44">
        <v>1</v>
      </c>
    </row>
    <row r="373" spans="1:3" x14ac:dyDescent="0.25">
      <c r="A373" s="92">
        <v>40787</v>
      </c>
      <c r="B373" s="88" t="s">
        <v>2290</v>
      </c>
      <c r="C373" s="44">
        <v>1</v>
      </c>
    </row>
    <row r="374" spans="1:3" x14ac:dyDescent="0.25">
      <c r="A374" s="92">
        <v>40844</v>
      </c>
      <c r="B374" s="88" t="s">
        <v>248</v>
      </c>
      <c r="C374" s="43">
        <v>0.5</v>
      </c>
    </row>
    <row r="375" spans="1:3" x14ac:dyDescent="0.25">
      <c r="A375" s="92">
        <v>40845</v>
      </c>
      <c r="B375" s="88" t="s">
        <v>21</v>
      </c>
      <c r="C375" s="44">
        <v>1</v>
      </c>
    </row>
    <row r="376" spans="1:3" x14ac:dyDescent="0.25">
      <c r="A376" s="92">
        <v>40852</v>
      </c>
      <c r="B376" s="88" t="s">
        <v>248</v>
      </c>
      <c r="C376" s="43">
        <v>0.5</v>
      </c>
    </row>
    <row r="377" spans="1:3" x14ac:dyDescent="0.25">
      <c r="A377" s="92">
        <v>40853</v>
      </c>
      <c r="B377" s="88" t="s">
        <v>2289</v>
      </c>
      <c r="C377" s="44">
        <v>1</v>
      </c>
    </row>
    <row r="378" spans="1:3" x14ac:dyDescent="0.25">
      <c r="A378" s="92">
        <v>40854</v>
      </c>
      <c r="B378" s="88" t="s">
        <v>2289</v>
      </c>
      <c r="C378" s="44">
        <v>1</v>
      </c>
    </row>
    <row r="379" spans="1:3" x14ac:dyDescent="0.25">
      <c r="A379" s="92">
        <v>40855</v>
      </c>
      <c r="B379" s="88" t="s">
        <v>2289</v>
      </c>
      <c r="C379" s="44">
        <v>1</v>
      </c>
    </row>
    <row r="380" spans="1:3" x14ac:dyDescent="0.25">
      <c r="A380" s="92">
        <v>40856</v>
      </c>
      <c r="B380" s="88" t="s">
        <v>2289</v>
      </c>
      <c r="C380" s="44">
        <v>1</v>
      </c>
    </row>
    <row r="381" spans="1:3" x14ac:dyDescent="0.25">
      <c r="A381" s="92">
        <v>40909</v>
      </c>
      <c r="B381" s="88" t="s">
        <v>15</v>
      </c>
      <c r="C381" s="44">
        <v>1</v>
      </c>
    </row>
    <row r="382" spans="1:3" x14ac:dyDescent="0.25">
      <c r="A382" s="92">
        <v>41022</v>
      </c>
      <c r="B382" s="88" t="s">
        <v>16</v>
      </c>
      <c r="C382" s="44">
        <v>1</v>
      </c>
    </row>
    <row r="383" spans="1:3" x14ac:dyDescent="0.25">
      <c r="A383" s="92">
        <v>41030</v>
      </c>
      <c r="B383" s="88" t="s">
        <v>17</v>
      </c>
      <c r="C383" s="44">
        <v>1</v>
      </c>
    </row>
    <row r="384" spans="1:3" x14ac:dyDescent="0.25">
      <c r="A384" s="92">
        <v>41048</v>
      </c>
      <c r="B384" s="88" t="s">
        <v>18</v>
      </c>
      <c r="C384" s="44">
        <v>1</v>
      </c>
    </row>
    <row r="385" spans="1:3" x14ac:dyDescent="0.25">
      <c r="A385" s="92">
        <v>41139</v>
      </c>
      <c r="B385" s="88" t="s">
        <v>248</v>
      </c>
      <c r="C385" s="43">
        <v>0.5</v>
      </c>
    </row>
    <row r="386" spans="1:3" x14ac:dyDescent="0.25">
      <c r="A386" s="92">
        <v>41140</v>
      </c>
      <c r="B386" s="88" t="s">
        <v>2290</v>
      </c>
      <c r="C386" s="44">
        <v>1</v>
      </c>
    </row>
    <row r="387" spans="1:3" x14ac:dyDescent="0.25">
      <c r="A387" s="92">
        <v>41141</v>
      </c>
      <c r="B387" s="88" t="s">
        <v>2290</v>
      </c>
      <c r="C387" s="44">
        <v>1</v>
      </c>
    </row>
    <row r="388" spans="1:3" x14ac:dyDescent="0.25">
      <c r="A388" s="92">
        <v>41142</v>
      </c>
      <c r="B388" s="88" t="s">
        <v>2290</v>
      </c>
      <c r="C388" s="44">
        <v>1</v>
      </c>
    </row>
    <row r="389" spans="1:3" x14ac:dyDescent="0.25">
      <c r="A389" s="92">
        <v>41151</v>
      </c>
      <c r="B389" s="88" t="s">
        <v>20</v>
      </c>
      <c r="C389" s="44">
        <v>1</v>
      </c>
    </row>
    <row r="390" spans="1:3" x14ac:dyDescent="0.25">
      <c r="A390" s="92">
        <v>41206</v>
      </c>
      <c r="B390" s="88" t="s">
        <v>248</v>
      </c>
      <c r="C390" s="43">
        <v>0.5</v>
      </c>
    </row>
    <row r="391" spans="1:3" x14ac:dyDescent="0.25">
      <c r="A391" s="92">
        <v>41207</v>
      </c>
      <c r="B391" s="88" t="s">
        <v>2289</v>
      </c>
      <c r="C391" s="44">
        <v>1</v>
      </c>
    </row>
    <row r="392" spans="1:3" x14ac:dyDescent="0.25">
      <c r="A392" s="92">
        <v>41208</v>
      </c>
      <c r="B392" s="88" t="s">
        <v>2289</v>
      </c>
      <c r="C392" s="44">
        <v>1</v>
      </c>
    </row>
    <row r="393" spans="1:3" x14ac:dyDescent="0.25">
      <c r="A393" s="92">
        <v>41209</v>
      </c>
      <c r="B393" s="88" t="s">
        <v>2289</v>
      </c>
      <c r="C393" s="44">
        <v>1</v>
      </c>
    </row>
    <row r="394" spans="1:3" x14ac:dyDescent="0.25">
      <c r="A394" s="92">
        <v>41210</v>
      </c>
      <c r="B394" s="88" t="s">
        <v>2289</v>
      </c>
      <c r="C394" s="44">
        <v>1</v>
      </c>
    </row>
    <row r="395" spans="1:3" x14ac:dyDescent="0.25">
      <c r="A395" s="92">
        <v>41210</v>
      </c>
      <c r="B395" s="88" t="s">
        <v>248</v>
      </c>
      <c r="C395" s="43">
        <v>0.5</v>
      </c>
    </row>
    <row r="396" spans="1:3" x14ac:dyDescent="0.25">
      <c r="A396" s="92">
        <v>41211</v>
      </c>
      <c r="B396" s="88" t="s">
        <v>21</v>
      </c>
      <c r="C396" s="44">
        <v>1</v>
      </c>
    </row>
    <row r="397" spans="1:3" x14ac:dyDescent="0.25">
      <c r="A397" s="92">
        <v>41275</v>
      </c>
      <c r="B397" s="88" t="s">
        <v>15</v>
      </c>
      <c r="C397" s="44">
        <v>1</v>
      </c>
    </row>
    <row r="398" spans="1:3" x14ac:dyDescent="0.25">
      <c r="A398" s="92">
        <v>41387</v>
      </c>
      <c r="B398" s="88" t="s">
        <v>16</v>
      </c>
      <c r="C398" s="44">
        <v>1</v>
      </c>
    </row>
    <row r="399" spans="1:3" x14ac:dyDescent="0.25">
      <c r="A399" s="92">
        <v>41395</v>
      </c>
      <c r="B399" s="88" t="s">
        <v>17</v>
      </c>
      <c r="C399" s="44">
        <v>1</v>
      </c>
    </row>
    <row r="400" spans="1:3" x14ac:dyDescent="0.25">
      <c r="A400" s="92">
        <v>41413</v>
      </c>
      <c r="B400" s="88" t="s">
        <v>18</v>
      </c>
      <c r="C400" s="44">
        <v>1</v>
      </c>
    </row>
    <row r="401" spans="1:3" x14ac:dyDescent="0.25">
      <c r="A401" s="92">
        <v>41493</v>
      </c>
      <c r="B401" s="88" t="s">
        <v>248</v>
      </c>
      <c r="C401" s="43">
        <v>0.5</v>
      </c>
    </row>
    <row r="402" spans="1:3" x14ac:dyDescent="0.25">
      <c r="A402" s="92">
        <v>41494</v>
      </c>
      <c r="B402" s="88" t="s">
        <v>2290</v>
      </c>
      <c r="C402" s="44">
        <v>1</v>
      </c>
    </row>
    <row r="403" spans="1:3" x14ac:dyDescent="0.25">
      <c r="A403" s="92">
        <v>41495</v>
      </c>
      <c r="B403" s="88" t="s">
        <v>2290</v>
      </c>
      <c r="C403" s="44">
        <v>1</v>
      </c>
    </row>
    <row r="404" spans="1:3" x14ac:dyDescent="0.25">
      <c r="A404" s="92">
        <v>41496</v>
      </c>
      <c r="B404" s="88" t="s">
        <v>2290</v>
      </c>
      <c r="C404" s="44">
        <v>1</v>
      </c>
    </row>
    <row r="405" spans="1:3" x14ac:dyDescent="0.25">
      <c r="A405" s="92">
        <v>41516</v>
      </c>
      <c r="B405" s="88" t="s">
        <v>20</v>
      </c>
      <c r="C405" s="44">
        <v>1</v>
      </c>
    </row>
    <row r="406" spans="1:3" x14ac:dyDescent="0.25">
      <c r="A406" s="92">
        <v>41561</v>
      </c>
      <c r="B406" s="88" t="s">
        <v>248</v>
      </c>
      <c r="C406" s="43">
        <v>0.5</v>
      </c>
    </row>
    <row r="407" spans="1:3" x14ac:dyDescent="0.25">
      <c r="A407" s="92">
        <v>41562</v>
      </c>
      <c r="B407" s="88" t="s">
        <v>2289</v>
      </c>
      <c r="C407" s="44">
        <v>1</v>
      </c>
    </row>
    <row r="408" spans="1:3" x14ac:dyDescent="0.25">
      <c r="A408" s="92">
        <v>41563</v>
      </c>
      <c r="B408" s="88" t="s">
        <v>2289</v>
      </c>
      <c r="C408" s="44">
        <v>1</v>
      </c>
    </row>
    <row r="409" spans="1:3" x14ac:dyDescent="0.25">
      <c r="A409" s="92">
        <v>41564</v>
      </c>
      <c r="B409" s="88" t="s">
        <v>2289</v>
      </c>
      <c r="C409" s="44">
        <v>1</v>
      </c>
    </row>
    <row r="410" spans="1:3" x14ac:dyDescent="0.25">
      <c r="A410" s="92">
        <v>41565</v>
      </c>
      <c r="B410" s="88" t="s">
        <v>2289</v>
      </c>
      <c r="C410" s="44">
        <v>1</v>
      </c>
    </row>
    <row r="411" spans="1:3" x14ac:dyDescent="0.25">
      <c r="A411" s="92">
        <v>41575</v>
      </c>
      <c r="B411" s="88" t="s">
        <v>248</v>
      </c>
      <c r="C411" s="43">
        <v>0.5</v>
      </c>
    </row>
    <row r="412" spans="1:3" x14ac:dyDescent="0.25">
      <c r="A412" s="92">
        <v>41576</v>
      </c>
      <c r="B412" s="88" t="s">
        <v>21</v>
      </c>
      <c r="C412" s="44">
        <v>1</v>
      </c>
    </row>
    <row r="413" spans="1:3" x14ac:dyDescent="0.25">
      <c r="A413" s="92">
        <v>41640</v>
      </c>
      <c r="B413" s="88" t="s">
        <v>15</v>
      </c>
      <c r="C413" s="44">
        <v>1</v>
      </c>
    </row>
    <row r="414" spans="1:3" x14ac:dyDescent="0.25">
      <c r="A414" s="92">
        <v>41752</v>
      </c>
      <c r="B414" s="88" t="s">
        <v>16</v>
      </c>
      <c r="C414" s="44">
        <v>1</v>
      </c>
    </row>
    <row r="415" spans="1:3" x14ac:dyDescent="0.25">
      <c r="A415" s="92">
        <v>41760</v>
      </c>
      <c r="B415" s="88" t="s">
        <v>17</v>
      </c>
      <c r="C415" s="44">
        <v>1</v>
      </c>
    </row>
    <row r="416" spans="1:3" x14ac:dyDescent="0.25">
      <c r="A416" s="92">
        <v>41778</v>
      </c>
      <c r="B416" s="88" t="s">
        <v>18</v>
      </c>
      <c r="C416" s="44">
        <v>1</v>
      </c>
    </row>
    <row r="417" spans="1:3" x14ac:dyDescent="0.25">
      <c r="A417" s="92">
        <v>41847</v>
      </c>
      <c r="B417" s="88" t="s">
        <v>248</v>
      </c>
      <c r="C417" s="43">
        <v>0.5</v>
      </c>
    </row>
    <row r="418" spans="1:3" x14ac:dyDescent="0.25">
      <c r="A418" s="92">
        <v>41848</v>
      </c>
      <c r="B418" s="88" t="s">
        <v>2290</v>
      </c>
      <c r="C418" s="44">
        <v>1</v>
      </c>
    </row>
    <row r="419" spans="1:3" x14ac:dyDescent="0.25">
      <c r="A419" s="92">
        <v>41849</v>
      </c>
      <c r="B419" s="88" t="s">
        <v>2290</v>
      </c>
      <c r="C419" s="44">
        <v>1</v>
      </c>
    </row>
    <row r="420" spans="1:3" x14ac:dyDescent="0.25">
      <c r="A420" s="92">
        <v>41850</v>
      </c>
      <c r="B420" s="88" t="s">
        <v>2290</v>
      </c>
      <c r="C420" s="44">
        <v>1</v>
      </c>
    </row>
    <row r="421" spans="1:3" x14ac:dyDescent="0.25">
      <c r="A421" s="92">
        <v>41881</v>
      </c>
      <c r="B421" s="88" t="s">
        <v>20</v>
      </c>
      <c r="C421" s="44">
        <v>1</v>
      </c>
    </row>
    <row r="422" spans="1:3" x14ac:dyDescent="0.25">
      <c r="A422" s="92">
        <v>41915</v>
      </c>
      <c r="B422" s="88" t="s">
        <v>248</v>
      </c>
      <c r="C422" s="43">
        <v>0.5</v>
      </c>
    </row>
    <row r="423" spans="1:3" x14ac:dyDescent="0.25">
      <c r="A423" s="92">
        <v>41916</v>
      </c>
      <c r="B423" s="88" t="s">
        <v>2289</v>
      </c>
      <c r="C423" s="44">
        <v>1</v>
      </c>
    </row>
    <row r="424" spans="1:3" x14ac:dyDescent="0.25">
      <c r="A424" s="92">
        <v>41917</v>
      </c>
      <c r="B424" s="88" t="s">
        <v>2289</v>
      </c>
      <c r="C424" s="44">
        <v>1</v>
      </c>
    </row>
    <row r="425" spans="1:3" x14ac:dyDescent="0.25">
      <c r="A425" s="92">
        <v>41918</v>
      </c>
      <c r="B425" s="88" t="s">
        <v>2289</v>
      </c>
      <c r="C425" s="44">
        <v>1</v>
      </c>
    </row>
    <row r="426" spans="1:3" x14ac:dyDescent="0.25">
      <c r="A426" s="92">
        <v>41919</v>
      </c>
      <c r="B426" s="88" t="s">
        <v>2289</v>
      </c>
      <c r="C426" s="44">
        <v>1</v>
      </c>
    </row>
    <row r="427" spans="1:3" x14ac:dyDescent="0.25">
      <c r="A427" s="92">
        <v>41940</v>
      </c>
      <c r="B427" s="88" t="s">
        <v>248</v>
      </c>
      <c r="C427" s="43">
        <v>0.5</v>
      </c>
    </row>
    <row r="428" spans="1:3" x14ac:dyDescent="0.25">
      <c r="A428" s="92">
        <v>41941</v>
      </c>
      <c r="B428" s="88" t="s">
        <v>21</v>
      </c>
      <c r="C428" s="44">
        <v>1</v>
      </c>
    </row>
    <row r="429" spans="1:3" x14ac:dyDescent="0.25">
      <c r="A429" s="92">
        <v>42005</v>
      </c>
      <c r="B429" s="88" t="s">
        <v>15</v>
      </c>
      <c r="C429" s="44">
        <v>1</v>
      </c>
    </row>
    <row r="430" spans="1:3" x14ac:dyDescent="0.25">
      <c r="A430" s="92">
        <v>42117</v>
      </c>
      <c r="B430" s="88" t="s">
        <v>16</v>
      </c>
      <c r="C430" s="44">
        <v>1</v>
      </c>
    </row>
    <row r="431" spans="1:3" x14ac:dyDescent="0.25">
      <c r="A431" s="92">
        <v>42125</v>
      </c>
      <c r="B431" s="88" t="s">
        <v>17</v>
      </c>
      <c r="C431" s="44">
        <v>1</v>
      </c>
    </row>
    <row r="432" spans="1:3" x14ac:dyDescent="0.25">
      <c r="A432" s="92">
        <v>42143</v>
      </c>
      <c r="B432" s="88" t="s">
        <v>18</v>
      </c>
      <c r="C432" s="44">
        <v>1</v>
      </c>
    </row>
    <row r="433" spans="1:3" x14ac:dyDescent="0.25">
      <c r="A433" s="92">
        <v>42201</v>
      </c>
      <c r="B433" s="88" t="s">
        <v>248</v>
      </c>
      <c r="C433" s="43">
        <v>0.5</v>
      </c>
    </row>
    <row r="434" spans="1:3" x14ac:dyDescent="0.25">
      <c r="A434" s="92">
        <v>42202</v>
      </c>
      <c r="B434" s="88" t="s">
        <v>2290</v>
      </c>
      <c r="C434" s="44">
        <v>1</v>
      </c>
    </row>
    <row r="435" spans="1:3" x14ac:dyDescent="0.25">
      <c r="A435" s="92">
        <v>42203</v>
      </c>
      <c r="B435" s="88" t="s">
        <v>2290</v>
      </c>
      <c r="C435" s="44">
        <v>1</v>
      </c>
    </row>
    <row r="436" spans="1:3" x14ac:dyDescent="0.25">
      <c r="A436" s="92">
        <v>42204</v>
      </c>
      <c r="B436" s="88" t="s">
        <v>2290</v>
      </c>
      <c r="C436" s="44">
        <v>1</v>
      </c>
    </row>
    <row r="437" spans="1:3" x14ac:dyDescent="0.25">
      <c r="A437" s="92">
        <v>42246</v>
      </c>
      <c r="B437" s="88" t="s">
        <v>20</v>
      </c>
      <c r="C437" s="44">
        <v>1</v>
      </c>
    </row>
    <row r="438" spans="1:3" x14ac:dyDescent="0.25">
      <c r="A438" s="92">
        <v>42270</v>
      </c>
      <c r="B438" s="88" t="s">
        <v>248</v>
      </c>
      <c r="C438" s="43">
        <v>0.5</v>
      </c>
    </row>
    <row r="439" spans="1:3" x14ac:dyDescent="0.25">
      <c r="A439" s="92">
        <v>42271</v>
      </c>
      <c r="B439" s="88" t="s">
        <v>2289</v>
      </c>
      <c r="C439" s="44">
        <v>1</v>
      </c>
    </row>
    <row r="440" spans="1:3" x14ac:dyDescent="0.25">
      <c r="A440" s="92">
        <v>42272</v>
      </c>
      <c r="B440" s="88" t="s">
        <v>2289</v>
      </c>
      <c r="C440" s="44">
        <v>1</v>
      </c>
    </row>
    <row r="441" spans="1:3" x14ac:dyDescent="0.25">
      <c r="A441" s="92">
        <v>42273</v>
      </c>
      <c r="B441" s="88" t="s">
        <v>2289</v>
      </c>
      <c r="C441" s="44">
        <v>1</v>
      </c>
    </row>
    <row r="442" spans="1:3" x14ac:dyDescent="0.25">
      <c r="A442" s="92">
        <v>42274</v>
      </c>
      <c r="B442" s="88" t="s">
        <v>2289</v>
      </c>
      <c r="C442" s="44">
        <v>1</v>
      </c>
    </row>
    <row r="443" spans="1:3" x14ac:dyDescent="0.25">
      <c r="A443" s="92">
        <v>42305</v>
      </c>
      <c r="B443" s="88" t="s">
        <v>248</v>
      </c>
      <c r="C443" s="43">
        <v>0.5</v>
      </c>
    </row>
    <row r="444" spans="1:3" x14ac:dyDescent="0.25">
      <c r="A444" s="92">
        <v>42306</v>
      </c>
      <c r="B444" s="88" t="s">
        <v>21</v>
      </c>
      <c r="C444" s="44">
        <v>1</v>
      </c>
    </row>
    <row r="445" spans="1:3" x14ac:dyDescent="0.25">
      <c r="A445" s="92">
        <v>42370</v>
      </c>
      <c r="B445" s="88" t="s">
        <v>15</v>
      </c>
      <c r="C445" s="44">
        <v>1</v>
      </c>
    </row>
    <row r="446" spans="1:3" x14ac:dyDescent="0.25">
      <c r="A446" s="92">
        <v>42483</v>
      </c>
      <c r="B446" s="88" t="s">
        <v>16</v>
      </c>
      <c r="C446" s="44">
        <v>1</v>
      </c>
    </row>
    <row r="447" spans="1:3" x14ac:dyDescent="0.25">
      <c r="A447" s="92">
        <v>42491</v>
      </c>
      <c r="B447" s="88" t="s">
        <v>17</v>
      </c>
      <c r="C447" s="44">
        <v>1</v>
      </c>
    </row>
    <row r="448" spans="1:3" x14ac:dyDescent="0.25">
      <c r="A448" s="92">
        <v>42509</v>
      </c>
      <c r="B448" s="88" t="s">
        <v>18</v>
      </c>
      <c r="C448" s="44">
        <v>1</v>
      </c>
    </row>
    <row r="449" spans="1:3" x14ac:dyDescent="0.25">
      <c r="A449" s="92">
        <v>42555</v>
      </c>
      <c r="B449" s="88" t="s">
        <v>248</v>
      </c>
      <c r="C449" s="43">
        <v>0.5</v>
      </c>
    </row>
    <row r="450" spans="1:3" x14ac:dyDescent="0.25">
      <c r="A450" s="92">
        <v>42556</v>
      </c>
      <c r="B450" s="88" t="s">
        <v>2290</v>
      </c>
      <c r="C450" s="44">
        <v>1</v>
      </c>
    </row>
    <row r="451" spans="1:3" x14ac:dyDescent="0.25">
      <c r="A451" s="92">
        <v>42557</v>
      </c>
      <c r="B451" s="88" t="s">
        <v>2290</v>
      </c>
      <c r="C451" s="44">
        <v>1</v>
      </c>
    </row>
    <row r="452" spans="1:3" x14ac:dyDescent="0.25">
      <c r="A452" s="92">
        <v>42558</v>
      </c>
      <c r="B452" s="88" t="s">
        <v>2290</v>
      </c>
      <c r="C452" s="44">
        <v>1</v>
      </c>
    </row>
    <row r="453" spans="1:3" x14ac:dyDescent="0.25">
      <c r="A453" s="92">
        <v>42612</v>
      </c>
      <c r="B453" s="88" t="s">
        <v>20</v>
      </c>
      <c r="C453" s="44">
        <v>1</v>
      </c>
    </row>
    <row r="454" spans="1:3" x14ac:dyDescent="0.25">
      <c r="A454" s="92">
        <v>42624</v>
      </c>
      <c r="B454" s="88" t="s">
        <v>248</v>
      </c>
      <c r="C454" s="43">
        <v>0.5</v>
      </c>
    </row>
    <row r="455" spans="1:3" x14ac:dyDescent="0.25">
      <c r="A455" s="92">
        <v>42625</v>
      </c>
      <c r="B455" s="88" t="s">
        <v>2289</v>
      </c>
      <c r="C455" s="44">
        <v>1</v>
      </c>
    </row>
    <row r="456" spans="1:3" x14ac:dyDescent="0.25">
      <c r="A456" s="92">
        <v>42626</v>
      </c>
      <c r="B456" s="88" t="s">
        <v>2289</v>
      </c>
      <c r="C456" s="44">
        <v>1</v>
      </c>
    </row>
    <row r="457" spans="1:3" x14ac:dyDescent="0.25">
      <c r="A457" s="92">
        <v>42627</v>
      </c>
      <c r="B457" s="88" t="s">
        <v>2289</v>
      </c>
      <c r="C457" s="44">
        <v>1</v>
      </c>
    </row>
    <row r="458" spans="1:3" x14ac:dyDescent="0.25">
      <c r="A458" s="92">
        <v>42628</v>
      </c>
      <c r="B458" s="88" t="s">
        <v>2289</v>
      </c>
      <c r="C458" s="44">
        <v>1</v>
      </c>
    </row>
    <row r="459" spans="1:3" x14ac:dyDescent="0.25">
      <c r="A459" s="92">
        <v>42671</v>
      </c>
      <c r="B459" s="88" t="s">
        <v>248</v>
      </c>
      <c r="C459" s="43">
        <v>0.5</v>
      </c>
    </row>
    <row r="460" spans="1:3" x14ac:dyDescent="0.25">
      <c r="A460" s="92">
        <v>42672</v>
      </c>
      <c r="B460" s="88" t="s">
        <v>21</v>
      </c>
      <c r="C460" s="44">
        <v>1</v>
      </c>
    </row>
    <row r="461" spans="1:3" x14ac:dyDescent="0.25">
      <c r="A461" s="92">
        <v>42736</v>
      </c>
      <c r="B461" s="88" t="s">
        <v>15</v>
      </c>
      <c r="C461" s="44">
        <v>1</v>
      </c>
    </row>
    <row r="462" spans="1:3" x14ac:dyDescent="0.25">
      <c r="A462" s="92">
        <v>42848</v>
      </c>
      <c r="B462" s="88" t="s">
        <v>16</v>
      </c>
      <c r="C462" s="44">
        <v>1</v>
      </c>
    </row>
    <row r="463" spans="1:3" x14ac:dyDescent="0.25">
      <c r="A463" s="92">
        <v>42856</v>
      </c>
      <c r="B463" s="88" t="s">
        <v>17</v>
      </c>
      <c r="C463" s="44">
        <v>1</v>
      </c>
    </row>
    <row r="464" spans="1:3" x14ac:dyDescent="0.25">
      <c r="A464" s="92">
        <v>42874</v>
      </c>
      <c r="B464" s="88" t="s">
        <v>18</v>
      </c>
      <c r="C464" s="44">
        <v>1</v>
      </c>
    </row>
    <row r="465" spans="1:3" x14ac:dyDescent="0.25">
      <c r="A465" s="92">
        <v>42910</v>
      </c>
      <c r="B465" s="88" t="s">
        <v>248</v>
      </c>
      <c r="C465" s="43">
        <v>0.5</v>
      </c>
    </row>
    <row r="466" spans="1:3" x14ac:dyDescent="0.25">
      <c r="A466" s="92">
        <v>42911</v>
      </c>
      <c r="B466" s="88" t="s">
        <v>2290</v>
      </c>
      <c r="C466" s="44">
        <v>1</v>
      </c>
    </row>
    <row r="467" spans="1:3" x14ac:dyDescent="0.25">
      <c r="A467" s="92">
        <v>42912</v>
      </c>
      <c r="B467" s="88" t="s">
        <v>2290</v>
      </c>
      <c r="C467" s="44">
        <v>1</v>
      </c>
    </row>
    <row r="468" spans="1:3" x14ac:dyDescent="0.25">
      <c r="A468" s="92">
        <v>42913</v>
      </c>
      <c r="B468" s="88" t="s">
        <v>2290</v>
      </c>
      <c r="C468" s="44">
        <v>1</v>
      </c>
    </row>
    <row r="469" spans="1:3" x14ac:dyDescent="0.25">
      <c r="A469" s="92">
        <v>42931</v>
      </c>
      <c r="B469" s="88" t="s">
        <v>19</v>
      </c>
      <c r="C469" s="44">
        <v>1</v>
      </c>
    </row>
    <row r="470" spans="1:3" x14ac:dyDescent="0.25">
      <c r="A470" s="92">
        <v>42977</v>
      </c>
      <c r="B470" s="88" t="s">
        <v>20</v>
      </c>
      <c r="C470" s="44">
        <v>1</v>
      </c>
    </row>
    <row r="471" spans="1:3" x14ac:dyDescent="0.25">
      <c r="A471" s="92">
        <v>42978</v>
      </c>
      <c r="B471" s="88" t="s">
        <v>248</v>
      </c>
      <c r="C471" s="43">
        <v>0.5</v>
      </c>
    </row>
    <row r="472" spans="1:3" x14ac:dyDescent="0.25">
      <c r="A472" s="92">
        <v>42979</v>
      </c>
      <c r="B472" s="88" t="s">
        <v>2289</v>
      </c>
      <c r="C472" s="44">
        <v>1</v>
      </c>
    </row>
    <row r="473" spans="1:3" x14ac:dyDescent="0.25">
      <c r="A473" s="92">
        <v>42980</v>
      </c>
      <c r="B473" s="88" t="s">
        <v>2289</v>
      </c>
      <c r="C473" s="44">
        <v>1</v>
      </c>
    </row>
    <row r="474" spans="1:3" x14ac:dyDescent="0.25">
      <c r="A474" s="92">
        <v>42981</v>
      </c>
      <c r="B474" s="88" t="s">
        <v>2289</v>
      </c>
      <c r="C474" s="44">
        <v>1</v>
      </c>
    </row>
    <row r="475" spans="1:3" x14ac:dyDescent="0.25">
      <c r="A475" s="92">
        <v>42982</v>
      </c>
      <c r="B475" s="88" t="s">
        <v>2289</v>
      </c>
      <c r="C475" s="44">
        <v>1</v>
      </c>
    </row>
    <row r="476" spans="1:3" x14ac:dyDescent="0.25">
      <c r="A476" s="92">
        <v>43036</v>
      </c>
      <c r="B476" s="88" t="s">
        <v>248</v>
      </c>
      <c r="C476" s="43">
        <v>0.5</v>
      </c>
    </row>
    <row r="477" spans="1:3" x14ac:dyDescent="0.25">
      <c r="A477" s="92">
        <v>43037</v>
      </c>
      <c r="B477" s="88" t="s">
        <v>21</v>
      </c>
      <c r="C477" s="44">
        <v>1</v>
      </c>
    </row>
    <row r="478" spans="1:3" x14ac:dyDescent="0.25">
      <c r="A478" s="92">
        <v>43101</v>
      </c>
      <c r="B478" s="88" t="s">
        <v>15</v>
      </c>
      <c r="C478" s="44">
        <v>1</v>
      </c>
    </row>
    <row r="479" spans="1:3" x14ac:dyDescent="0.25">
      <c r="A479" s="92">
        <v>43213</v>
      </c>
      <c r="B479" s="88" t="s">
        <v>16</v>
      </c>
      <c r="C479" s="44">
        <v>1</v>
      </c>
    </row>
    <row r="480" spans="1:3" x14ac:dyDescent="0.25">
      <c r="A480" s="92">
        <v>43221</v>
      </c>
      <c r="B480" s="88" t="s">
        <v>17</v>
      </c>
      <c r="C480" s="44">
        <v>1</v>
      </c>
    </row>
    <row r="481" spans="1:3" x14ac:dyDescent="0.25">
      <c r="A481" s="92">
        <v>43239</v>
      </c>
      <c r="B481" s="88" t="s">
        <v>18</v>
      </c>
      <c r="C481" s="44">
        <v>1</v>
      </c>
    </row>
    <row r="482" spans="1:3" x14ac:dyDescent="0.25">
      <c r="A482" s="92">
        <v>43265</v>
      </c>
      <c r="B482" s="88" t="s">
        <v>248</v>
      </c>
      <c r="C482" s="43">
        <v>0.5</v>
      </c>
    </row>
    <row r="483" spans="1:3" x14ac:dyDescent="0.25">
      <c r="A483" s="92">
        <v>43266</v>
      </c>
      <c r="B483" s="88" t="s">
        <v>2290</v>
      </c>
      <c r="C483" s="44">
        <v>1</v>
      </c>
    </row>
    <row r="484" spans="1:3" x14ac:dyDescent="0.25">
      <c r="A484" s="92">
        <v>43267</v>
      </c>
      <c r="B484" s="88" t="s">
        <v>2290</v>
      </c>
      <c r="C484" s="44">
        <v>1</v>
      </c>
    </row>
    <row r="485" spans="1:3" x14ac:dyDescent="0.25">
      <c r="A485" s="92">
        <v>43268</v>
      </c>
      <c r="B485" s="88" t="s">
        <v>2290</v>
      </c>
      <c r="C485" s="44">
        <v>1</v>
      </c>
    </row>
    <row r="486" spans="1:3" x14ac:dyDescent="0.25">
      <c r="A486" s="92">
        <v>43296</v>
      </c>
      <c r="B486" s="88" t="s">
        <v>19</v>
      </c>
      <c r="C486" s="44">
        <v>1</v>
      </c>
    </row>
    <row r="487" spans="1:3" x14ac:dyDescent="0.25">
      <c r="A487" s="92">
        <v>43332</v>
      </c>
      <c r="B487" s="88" t="s">
        <v>248</v>
      </c>
      <c r="C487" s="43">
        <v>0.5</v>
      </c>
    </row>
    <row r="488" spans="1:3" x14ac:dyDescent="0.25">
      <c r="A488" s="92">
        <v>43333</v>
      </c>
      <c r="B488" s="88" t="s">
        <v>2289</v>
      </c>
      <c r="C488" s="44">
        <v>1</v>
      </c>
    </row>
    <row r="489" spans="1:3" x14ac:dyDescent="0.25">
      <c r="A489" s="92">
        <v>43334</v>
      </c>
      <c r="B489" s="88" t="s">
        <v>2289</v>
      </c>
      <c r="C489" s="44">
        <v>1</v>
      </c>
    </row>
    <row r="490" spans="1:3" x14ac:dyDescent="0.25">
      <c r="A490" s="92">
        <v>43335</v>
      </c>
      <c r="B490" s="88" t="s">
        <v>2289</v>
      </c>
      <c r="C490" s="44">
        <v>1</v>
      </c>
    </row>
    <row r="491" spans="1:3" x14ac:dyDescent="0.25">
      <c r="A491" s="92">
        <v>43336</v>
      </c>
      <c r="B491" s="88" t="s">
        <v>2289</v>
      </c>
      <c r="C491" s="44">
        <v>1</v>
      </c>
    </row>
    <row r="492" spans="1:3" x14ac:dyDescent="0.25">
      <c r="A492" s="92">
        <v>43342</v>
      </c>
      <c r="B492" s="88" t="s">
        <v>20</v>
      </c>
      <c r="C492" s="44">
        <v>1</v>
      </c>
    </row>
    <row r="493" spans="1:3" x14ac:dyDescent="0.25">
      <c r="A493" s="92">
        <v>43401</v>
      </c>
      <c r="B493" s="88" t="s">
        <v>248</v>
      </c>
      <c r="C493" s="43">
        <v>0.5</v>
      </c>
    </row>
    <row r="494" spans="1:3" x14ac:dyDescent="0.25">
      <c r="A494" s="92">
        <v>43402</v>
      </c>
      <c r="B494" s="88" t="s">
        <v>21</v>
      </c>
      <c r="C494" s="44">
        <v>1</v>
      </c>
    </row>
    <row r="495" spans="1:3" x14ac:dyDescent="0.25">
      <c r="A495" s="92">
        <v>43466</v>
      </c>
      <c r="B495" s="88" t="s">
        <v>15</v>
      </c>
      <c r="C495" s="44">
        <v>1</v>
      </c>
    </row>
    <row r="496" spans="1:3" x14ac:dyDescent="0.25">
      <c r="A496" s="92">
        <v>43578</v>
      </c>
      <c r="B496" s="88" t="s">
        <v>16</v>
      </c>
      <c r="C496" s="44">
        <v>1</v>
      </c>
    </row>
    <row r="497" spans="1:3" x14ac:dyDescent="0.25">
      <c r="A497" s="92">
        <v>43586</v>
      </c>
      <c r="B497" s="88" t="s">
        <v>17</v>
      </c>
      <c r="C497" s="44">
        <v>1</v>
      </c>
    </row>
    <row r="498" spans="1:3" x14ac:dyDescent="0.25">
      <c r="A498" s="92">
        <v>43604</v>
      </c>
      <c r="B498" s="88" t="s">
        <v>18</v>
      </c>
      <c r="C498" s="44">
        <v>1</v>
      </c>
    </row>
    <row r="499" spans="1:3" x14ac:dyDescent="0.25">
      <c r="A499" s="92">
        <v>43619</v>
      </c>
      <c r="B499" s="88" t="s">
        <v>248</v>
      </c>
      <c r="C499" s="43">
        <v>0.5</v>
      </c>
    </row>
    <row r="500" spans="1:3" x14ac:dyDescent="0.25">
      <c r="A500" s="92">
        <v>43620</v>
      </c>
      <c r="B500" s="88" t="s">
        <v>2290</v>
      </c>
      <c r="C500" s="44">
        <v>1</v>
      </c>
    </row>
    <row r="501" spans="1:3" x14ac:dyDescent="0.25">
      <c r="A501" s="92">
        <v>43621</v>
      </c>
      <c r="B501" s="88" t="s">
        <v>2290</v>
      </c>
      <c r="C501" s="44">
        <v>1</v>
      </c>
    </row>
    <row r="502" spans="1:3" x14ac:dyDescent="0.25">
      <c r="A502" s="92">
        <v>43622</v>
      </c>
      <c r="B502" s="88" t="s">
        <v>2290</v>
      </c>
      <c r="C502" s="44">
        <v>1</v>
      </c>
    </row>
    <row r="503" spans="1:3" x14ac:dyDescent="0.25">
      <c r="A503" s="92">
        <v>43661</v>
      </c>
      <c r="B503" s="88" t="s">
        <v>19</v>
      </c>
      <c r="C503" s="44">
        <v>1</v>
      </c>
    </row>
    <row r="504" spans="1:3" x14ac:dyDescent="0.25">
      <c r="A504" s="92">
        <v>43687</v>
      </c>
      <c r="B504" s="88" t="s">
        <v>248</v>
      </c>
      <c r="C504" s="43">
        <v>0.5</v>
      </c>
    </row>
    <row r="505" spans="1:3" x14ac:dyDescent="0.25">
      <c r="A505" s="92">
        <v>43688</v>
      </c>
      <c r="B505" s="88" t="s">
        <v>2289</v>
      </c>
      <c r="C505" s="44">
        <v>1</v>
      </c>
    </row>
    <row r="506" spans="1:3" x14ac:dyDescent="0.25">
      <c r="A506" s="92">
        <v>43689</v>
      </c>
      <c r="B506" s="88" t="s">
        <v>2289</v>
      </c>
      <c r="C506" s="44">
        <v>1</v>
      </c>
    </row>
    <row r="507" spans="1:3" x14ac:dyDescent="0.25">
      <c r="A507" s="92">
        <v>43690</v>
      </c>
      <c r="B507" s="88" t="s">
        <v>2289</v>
      </c>
      <c r="C507" s="44">
        <v>1</v>
      </c>
    </row>
    <row r="508" spans="1:3" x14ac:dyDescent="0.25">
      <c r="A508" s="92">
        <v>43691</v>
      </c>
      <c r="B508" s="88" t="s">
        <v>2289</v>
      </c>
      <c r="C508" s="44">
        <v>1</v>
      </c>
    </row>
    <row r="509" spans="1:3" x14ac:dyDescent="0.25">
      <c r="A509" s="92">
        <v>43707</v>
      </c>
      <c r="B509" s="88" t="s">
        <v>20</v>
      </c>
      <c r="C509" s="44">
        <v>1</v>
      </c>
    </row>
    <row r="510" spans="1:3" x14ac:dyDescent="0.25">
      <c r="A510" s="92">
        <v>43766</v>
      </c>
      <c r="B510" s="88" t="s">
        <v>248</v>
      </c>
      <c r="C510" s="43">
        <v>0.5</v>
      </c>
    </row>
    <row r="511" spans="1:3" x14ac:dyDescent="0.25">
      <c r="A511" s="92">
        <v>43767</v>
      </c>
      <c r="B511" s="88" t="s">
        <v>21</v>
      </c>
      <c r="C511" s="44">
        <v>1</v>
      </c>
    </row>
    <row r="512" spans="1:3" x14ac:dyDescent="0.25">
      <c r="A512" s="92">
        <v>43831</v>
      </c>
      <c r="B512" s="88" t="s">
        <v>15</v>
      </c>
      <c r="C512" s="44">
        <v>1</v>
      </c>
    </row>
    <row r="513" spans="1:3" x14ac:dyDescent="0.25">
      <c r="A513" s="92">
        <v>43944</v>
      </c>
      <c r="B513" s="88" t="s">
        <v>16</v>
      </c>
      <c r="C513" s="44">
        <v>1</v>
      </c>
    </row>
    <row r="514" spans="1:3" x14ac:dyDescent="0.25">
      <c r="A514" s="92">
        <v>43952</v>
      </c>
      <c r="B514" s="88" t="s">
        <v>17</v>
      </c>
      <c r="C514" s="44">
        <v>1</v>
      </c>
    </row>
    <row r="515" spans="1:3" x14ac:dyDescent="0.25">
      <c r="A515" s="92">
        <v>43970</v>
      </c>
      <c r="B515" s="88" t="s">
        <v>18</v>
      </c>
      <c r="C515" s="44">
        <v>1</v>
      </c>
    </row>
    <row r="516" spans="1:3" x14ac:dyDescent="0.25">
      <c r="A516" s="92">
        <v>43974</v>
      </c>
      <c r="B516" s="88" t="s">
        <v>248</v>
      </c>
      <c r="C516" s="43">
        <v>0.5</v>
      </c>
    </row>
    <row r="517" spans="1:3" x14ac:dyDescent="0.25">
      <c r="A517" s="92">
        <v>43975</v>
      </c>
      <c r="B517" s="88" t="s">
        <v>2290</v>
      </c>
      <c r="C517" s="44">
        <v>1</v>
      </c>
    </row>
    <row r="518" spans="1:3" x14ac:dyDescent="0.25">
      <c r="A518" s="92">
        <v>43976</v>
      </c>
      <c r="B518" s="88" t="s">
        <v>2290</v>
      </c>
      <c r="C518" s="44">
        <v>1</v>
      </c>
    </row>
    <row r="519" spans="1:3" x14ac:dyDescent="0.25">
      <c r="A519" s="92">
        <v>43977</v>
      </c>
      <c r="B519" s="88" t="s">
        <v>2290</v>
      </c>
      <c r="C519" s="44">
        <v>1</v>
      </c>
    </row>
    <row r="520" spans="1:3" x14ac:dyDescent="0.25">
      <c r="A520" s="92">
        <v>44027</v>
      </c>
      <c r="B520" s="88" t="s">
        <v>19</v>
      </c>
      <c r="C520" s="44">
        <v>1</v>
      </c>
    </row>
    <row r="521" spans="1:3" x14ac:dyDescent="0.25">
      <c r="A521" s="92">
        <v>44042</v>
      </c>
      <c r="B521" s="88" t="s">
        <v>248</v>
      </c>
      <c r="C521" s="43">
        <v>0.5</v>
      </c>
    </row>
    <row r="522" spans="1:3" x14ac:dyDescent="0.25">
      <c r="A522" s="92">
        <v>44043</v>
      </c>
      <c r="B522" s="88" t="s">
        <v>2289</v>
      </c>
      <c r="C522" s="44">
        <v>1</v>
      </c>
    </row>
    <row r="523" spans="1:3" x14ac:dyDescent="0.25">
      <c r="A523" s="92">
        <v>44044</v>
      </c>
      <c r="B523" s="88" t="s">
        <v>2289</v>
      </c>
      <c r="C523" s="44">
        <v>1</v>
      </c>
    </row>
    <row r="524" spans="1:3" x14ac:dyDescent="0.25">
      <c r="A524" s="92">
        <v>44045</v>
      </c>
      <c r="B524" s="88" t="s">
        <v>2289</v>
      </c>
      <c r="C524" s="44">
        <v>1</v>
      </c>
    </row>
    <row r="525" spans="1:3" x14ac:dyDescent="0.25">
      <c r="A525" s="92">
        <v>44046</v>
      </c>
      <c r="B525" s="88" t="s">
        <v>2289</v>
      </c>
      <c r="C525" s="44">
        <v>1</v>
      </c>
    </row>
    <row r="526" spans="1:3" x14ac:dyDescent="0.25">
      <c r="A526" s="92">
        <v>44073</v>
      </c>
      <c r="B526" s="88" t="s">
        <v>20</v>
      </c>
      <c r="C526" s="44">
        <v>1</v>
      </c>
    </row>
    <row r="527" spans="1:3" x14ac:dyDescent="0.25">
      <c r="A527" s="92">
        <v>44132</v>
      </c>
      <c r="B527" s="88" t="s">
        <v>248</v>
      </c>
      <c r="C527" s="43">
        <v>0.5</v>
      </c>
    </row>
    <row r="528" spans="1:3" x14ac:dyDescent="0.25">
      <c r="A528" s="92">
        <v>44133</v>
      </c>
      <c r="B528" s="88" t="s">
        <v>21</v>
      </c>
      <c r="C528" s="44">
        <v>1</v>
      </c>
    </row>
    <row r="529" spans="1:3" x14ac:dyDescent="0.25">
      <c r="A529" s="92">
        <v>44197</v>
      </c>
      <c r="B529" s="88" t="s">
        <v>15</v>
      </c>
      <c r="C529" s="44">
        <v>1</v>
      </c>
    </row>
    <row r="530" spans="1:3" x14ac:dyDescent="0.25">
      <c r="A530" s="92">
        <v>44309</v>
      </c>
      <c r="B530" s="88" t="s">
        <v>16</v>
      </c>
      <c r="C530" s="44">
        <v>1</v>
      </c>
    </row>
    <row r="531" spans="1:3" x14ac:dyDescent="0.25">
      <c r="A531" s="92">
        <v>44317</v>
      </c>
      <c r="B531" s="88" t="s">
        <v>17</v>
      </c>
      <c r="C531" s="44">
        <v>1</v>
      </c>
    </row>
    <row r="532" spans="1:3" x14ac:dyDescent="0.25">
      <c r="A532" s="92">
        <v>44328</v>
      </c>
      <c r="B532" s="88" t="s">
        <v>248</v>
      </c>
      <c r="C532" s="43">
        <v>0.5</v>
      </c>
    </row>
    <row r="533" spans="1:3" x14ac:dyDescent="0.25">
      <c r="A533" s="92">
        <v>44329</v>
      </c>
      <c r="B533" s="88" t="s">
        <v>2290</v>
      </c>
      <c r="C533" s="44">
        <v>1</v>
      </c>
    </row>
    <row r="534" spans="1:3" x14ac:dyDescent="0.25">
      <c r="A534" s="92">
        <v>44330</v>
      </c>
      <c r="B534" s="88" t="s">
        <v>2290</v>
      </c>
      <c r="C534" s="44">
        <v>1</v>
      </c>
    </row>
    <row r="535" spans="1:3" x14ac:dyDescent="0.25">
      <c r="A535" s="92">
        <v>44331</v>
      </c>
      <c r="B535" s="88" t="s">
        <v>2290</v>
      </c>
      <c r="C535" s="44">
        <v>1</v>
      </c>
    </row>
    <row r="536" spans="1:3" x14ac:dyDescent="0.25">
      <c r="A536" s="92">
        <v>44335</v>
      </c>
      <c r="B536" s="88" t="s">
        <v>18</v>
      </c>
      <c r="C536" s="44">
        <v>1</v>
      </c>
    </row>
    <row r="537" spans="1:3" x14ac:dyDescent="0.25">
      <c r="A537" s="92">
        <v>44392</v>
      </c>
      <c r="B537" s="88" t="s">
        <v>19</v>
      </c>
      <c r="C537" s="44">
        <v>1</v>
      </c>
    </row>
    <row r="538" spans="1:3" x14ac:dyDescent="0.25">
      <c r="A538" s="92">
        <v>44396</v>
      </c>
      <c r="B538" s="88" t="s">
        <v>248</v>
      </c>
      <c r="C538" s="43">
        <v>0.5</v>
      </c>
    </row>
    <row r="539" spans="1:3" x14ac:dyDescent="0.25">
      <c r="A539" s="92">
        <v>44397</v>
      </c>
      <c r="B539" s="88" t="s">
        <v>2289</v>
      </c>
      <c r="C539" s="44">
        <v>1</v>
      </c>
    </row>
    <row r="540" spans="1:3" x14ac:dyDescent="0.25">
      <c r="A540" s="92">
        <v>44398</v>
      </c>
      <c r="B540" s="88" t="s">
        <v>2289</v>
      </c>
      <c r="C540" s="44">
        <v>1</v>
      </c>
    </row>
    <row r="541" spans="1:3" x14ac:dyDescent="0.25">
      <c r="A541" s="92">
        <v>44399</v>
      </c>
      <c r="B541" s="88" t="s">
        <v>2289</v>
      </c>
      <c r="C541" s="44">
        <v>1</v>
      </c>
    </row>
    <row r="542" spans="1:3" x14ac:dyDescent="0.25">
      <c r="A542" s="92">
        <v>44400</v>
      </c>
      <c r="B542" s="88" t="s">
        <v>2289</v>
      </c>
      <c r="C542" s="44">
        <v>1</v>
      </c>
    </row>
    <row r="543" spans="1:3" x14ac:dyDescent="0.25">
      <c r="A543" s="92">
        <v>44438</v>
      </c>
      <c r="B543" s="88" t="s">
        <v>20</v>
      </c>
      <c r="C543" s="44">
        <v>1</v>
      </c>
    </row>
    <row r="544" spans="1:3" x14ac:dyDescent="0.25">
      <c r="A544" s="92">
        <v>44497</v>
      </c>
      <c r="B544" s="88" t="s">
        <v>248</v>
      </c>
      <c r="C544" s="43">
        <v>0.5</v>
      </c>
    </row>
    <row r="545" spans="1:3" x14ac:dyDescent="0.25">
      <c r="A545" s="92">
        <v>44498</v>
      </c>
      <c r="B545" s="88" t="s">
        <v>21</v>
      </c>
      <c r="C545" s="44">
        <v>1</v>
      </c>
    </row>
    <row r="546" spans="1:3" x14ac:dyDescent="0.25">
      <c r="A546" s="92">
        <v>44562</v>
      </c>
      <c r="B546" s="88" t="s">
        <v>15</v>
      </c>
      <c r="C546" s="44">
        <v>1</v>
      </c>
    </row>
    <row r="547" spans="1:3" x14ac:dyDescent="0.25">
      <c r="A547" s="92">
        <v>44674</v>
      </c>
      <c r="B547" s="88" t="s">
        <v>16</v>
      </c>
      <c r="C547" s="44">
        <v>1</v>
      </c>
    </row>
    <row r="548" spans="1:3" x14ac:dyDescent="0.25">
      <c r="A548" s="92">
        <v>44682</v>
      </c>
      <c r="B548" s="88" t="s">
        <v>17</v>
      </c>
      <c r="C548" s="44">
        <v>1</v>
      </c>
    </row>
    <row r="549" spans="1:3" x14ac:dyDescent="0.25">
      <c r="A549" s="92">
        <v>44682</v>
      </c>
      <c r="B549" s="88" t="s">
        <v>248</v>
      </c>
      <c r="C549" s="43">
        <v>0.5</v>
      </c>
    </row>
    <row r="550" spans="1:3" x14ac:dyDescent="0.25">
      <c r="A550" s="92">
        <v>44683</v>
      </c>
      <c r="B550" s="88" t="s">
        <v>2290</v>
      </c>
      <c r="C550" s="44">
        <v>1</v>
      </c>
    </row>
    <row r="551" spans="1:3" x14ac:dyDescent="0.25">
      <c r="A551" s="92">
        <v>44684</v>
      </c>
      <c r="B551" s="88" t="s">
        <v>2290</v>
      </c>
      <c r="C551" s="44">
        <v>1</v>
      </c>
    </row>
    <row r="552" spans="1:3" x14ac:dyDescent="0.25">
      <c r="A552" s="92">
        <v>44685</v>
      </c>
      <c r="B552" s="88" t="s">
        <v>2290</v>
      </c>
      <c r="C552" s="44">
        <v>1</v>
      </c>
    </row>
    <row r="553" spans="1:3" x14ac:dyDescent="0.25">
      <c r="A553" s="92">
        <v>44700</v>
      </c>
      <c r="B553" s="88" t="s">
        <v>18</v>
      </c>
      <c r="C553" s="44">
        <v>1</v>
      </c>
    </row>
    <row r="554" spans="1:3" x14ac:dyDescent="0.25">
      <c r="A554" s="92">
        <v>44750</v>
      </c>
      <c r="B554" s="88" t="s">
        <v>248</v>
      </c>
      <c r="C554" s="43">
        <v>0.5</v>
      </c>
    </row>
    <row r="555" spans="1:3" x14ac:dyDescent="0.25">
      <c r="A555" s="92">
        <v>44751</v>
      </c>
      <c r="B555" s="88" t="s">
        <v>2289</v>
      </c>
      <c r="C555" s="44">
        <v>1</v>
      </c>
    </row>
    <row r="556" spans="1:3" x14ac:dyDescent="0.25">
      <c r="A556" s="92">
        <v>44752</v>
      </c>
      <c r="B556" s="88" t="s">
        <v>2289</v>
      </c>
      <c r="C556" s="44">
        <v>1</v>
      </c>
    </row>
    <row r="557" spans="1:3" x14ac:dyDescent="0.25">
      <c r="A557" s="92">
        <v>44753</v>
      </c>
      <c r="B557" s="88" t="s">
        <v>2289</v>
      </c>
      <c r="C557" s="44">
        <v>1</v>
      </c>
    </row>
    <row r="558" spans="1:3" x14ac:dyDescent="0.25">
      <c r="A558" s="92">
        <v>44754</v>
      </c>
      <c r="B558" s="88" t="s">
        <v>2289</v>
      </c>
      <c r="C558" s="44">
        <v>1</v>
      </c>
    </row>
    <row r="559" spans="1:3" x14ac:dyDescent="0.25">
      <c r="A559" s="92">
        <v>44757</v>
      </c>
      <c r="B559" s="88" t="s">
        <v>19</v>
      </c>
      <c r="C559" s="44">
        <v>1</v>
      </c>
    </row>
    <row r="560" spans="1:3" x14ac:dyDescent="0.25">
      <c r="A560" s="92">
        <v>44803</v>
      </c>
      <c r="B560" s="88" t="s">
        <v>20</v>
      </c>
      <c r="C560" s="44">
        <v>1</v>
      </c>
    </row>
    <row r="561" spans="1:3" x14ac:dyDescent="0.25">
      <c r="A561" s="92">
        <v>44862</v>
      </c>
      <c r="B561" s="88" t="s">
        <v>248</v>
      </c>
      <c r="C561" s="43">
        <v>0.5</v>
      </c>
    </row>
    <row r="562" spans="1:3" x14ac:dyDescent="0.25">
      <c r="A562" s="92">
        <v>44863</v>
      </c>
      <c r="B562" s="88" t="s">
        <v>21</v>
      </c>
      <c r="C562" s="44">
        <v>1</v>
      </c>
    </row>
    <row r="563" spans="1:3" x14ac:dyDescent="0.25">
      <c r="A563" s="92">
        <v>44927</v>
      </c>
      <c r="B563" s="88" t="s">
        <v>15</v>
      </c>
      <c r="C563" s="44">
        <v>1</v>
      </c>
    </row>
    <row r="564" spans="1:3" x14ac:dyDescent="0.25">
      <c r="A564" s="92">
        <v>45036</v>
      </c>
      <c r="B564" s="88" t="s">
        <v>248</v>
      </c>
      <c r="C564" s="43">
        <v>0.5</v>
      </c>
    </row>
    <row r="565" spans="1:3" x14ac:dyDescent="0.25">
      <c r="A565" s="92">
        <v>45037</v>
      </c>
      <c r="B565" s="88" t="s">
        <v>2290</v>
      </c>
      <c r="C565" s="44">
        <v>1</v>
      </c>
    </row>
    <row r="566" spans="1:3" x14ac:dyDescent="0.25">
      <c r="A566" s="92">
        <v>45038</v>
      </c>
      <c r="B566" s="88" t="s">
        <v>2290</v>
      </c>
      <c r="C566" s="44">
        <v>1</v>
      </c>
    </row>
    <row r="567" spans="1:3" x14ac:dyDescent="0.25">
      <c r="A567" s="92">
        <v>45039</v>
      </c>
      <c r="B567" s="88" t="s">
        <v>16</v>
      </c>
      <c r="C567" s="44">
        <v>1</v>
      </c>
    </row>
    <row r="568" spans="1:3" x14ac:dyDescent="0.25">
      <c r="A568" s="92">
        <v>45039</v>
      </c>
      <c r="B568" s="88" t="s">
        <v>2290</v>
      </c>
      <c r="C568" s="44">
        <v>1</v>
      </c>
    </row>
    <row r="569" spans="1:3" x14ac:dyDescent="0.25">
      <c r="A569" s="92">
        <v>45047</v>
      </c>
      <c r="B569" s="88" t="s">
        <v>17</v>
      </c>
      <c r="C569" s="44">
        <v>1</v>
      </c>
    </row>
    <row r="570" spans="1:3" x14ac:dyDescent="0.25">
      <c r="A570" s="92">
        <v>45065</v>
      </c>
      <c r="B570" s="88" t="s">
        <v>18</v>
      </c>
      <c r="C570" s="44">
        <v>1</v>
      </c>
    </row>
    <row r="571" spans="1:3" x14ac:dyDescent="0.25">
      <c r="A571" s="92">
        <v>45104</v>
      </c>
      <c r="B571" s="88" t="s">
        <v>248</v>
      </c>
      <c r="C571" s="43">
        <v>0.5</v>
      </c>
    </row>
    <row r="572" spans="1:3" x14ac:dyDescent="0.25">
      <c r="A572" s="92">
        <v>45105</v>
      </c>
      <c r="B572" s="88" t="s">
        <v>2289</v>
      </c>
      <c r="C572" s="44">
        <v>1</v>
      </c>
    </row>
    <row r="573" spans="1:3" x14ac:dyDescent="0.25">
      <c r="A573" s="92">
        <v>45106</v>
      </c>
      <c r="B573" s="88" t="s">
        <v>2289</v>
      </c>
      <c r="C573" s="44">
        <v>1</v>
      </c>
    </row>
    <row r="574" spans="1:3" x14ac:dyDescent="0.25">
      <c r="A574" s="92">
        <v>45107</v>
      </c>
      <c r="B574" s="88" t="s">
        <v>2289</v>
      </c>
      <c r="C574" s="44">
        <v>1</v>
      </c>
    </row>
    <row r="575" spans="1:3" x14ac:dyDescent="0.25">
      <c r="A575" s="92">
        <v>45108</v>
      </c>
      <c r="B575" s="88" t="s">
        <v>2289</v>
      </c>
      <c r="C575" s="44">
        <v>1</v>
      </c>
    </row>
    <row r="576" spans="1:3" x14ac:dyDescent="0.25">
      <c r="A576" s="92">
        <v>45122</v>
      </c>
      <c r="B576" s="88" t="s">
        <v>19</v>
      </c>
      <c r="C576" s="44">
        <v>1</v>
      </c>
    </row>
    <row r="577" spans="1:3" x14ac:dyDescent="0.25">
      <c r="A577" s="92">
        <v>45168</v>
      </c>
      <c r="B577" s="88" t="s">
        <v>20</v>
      </c>
      <c r="C577" s="44">
        <v>1</v>
      </c>
    </row>
    <row r="578" spans="1:3" x14ac:dyDescent="0.25">
      <c r="A578" s="92">
        <v>45227</v>
      </c>
      <c r="B578" s="88" t="s">
        <v>248</v>
      </c>
      <c r="C578" s="43">
        <v>0.5</v>
      </c>
    </row>
    <row r="579" spans="1:3" x14ac:dyDescent="0.25">
      <c r="A579" s="92">
        <v>45228</v>
      </c>
      <c r="B579" s="88" t="s">
        <v>21</v>
      </c>
      <c r="C579" s="44">
        <v>1</v>
      </c>
    </row>
    <row r="580" spans="1:3" x14ac:dyDescent="0.25">
      <c r="A580" s="92">
        <v>45292</v>
      </c>
      <c r="B580" s="88" t="s">
        <v>15</v>
      </c>
      <c r="C580" s="44">
        <v>1</v>
      </c>
    </row>
    <row r="581" spans="1:3" x14ac:dyDescent="0.25">
      <c r="A581" s="92">
        <v>45391</v>
      </c>
      <c r="B581" s="88" t="s">
        <v>248</v>
      </c>
      <c r="C581" s="43">
        <v>0.5</v>
      </c>
    </row>
    <row r="582" spans="1:3" x14ac:dyDescent="0.25">
      <c r="A582" s="92">
        <v>45392</v>
      </c>
      <c r="B582" s="88" t="s">
        <v>2290</v>
      </c>
      <c r="C582" s="44">
        <v>1</v>
      </c>
    </row>
    <row r="583" spans="1:3" x14ac:dyDescent="0.25">
      <c r="A583" s="92">
        <v>45393</v>
      </c>
      <c r="B583" s="88" t="s">
        <v>2290</v>
      </c>
      <c r="C583" s="44">
        <v>1</v>
      </c>
    </row>
    <row r="584" spans="1:3" x14ac:dyDescent="0.25">
      <c r="A584" s="92">
        <v>45394</v>
      </c>
      <c r="B584" s="88" t="s">
        <v>2290</v>
      </c>
      <c r="C584" s="44">
        <v>1</v>
      </c>
    </row>
    <row r="585" spans="1:3" x14ac:dyDescent="0.25">
      <c r="A585" s="92">
        <v>45405</v>
      </c>
      <c r="B585" s="88" t="s">
        <v>16</v>
      </c>
      <c r="C585" s="44">
        <v>1</v>
      </c>
    </row>
    <row r="586" spans="1:3" x14ac:dyDescent="0.25">
      <c r="A586" s="92">
        <v>45413</v>
      </c>
      <c r="B586" s="88" t="s">
        <v>17</v>
      </c>
      <c r="C586" s="44">
        <v>1</v>
      </c>
    </row>
    <row r="587" spans="1:3" x14ac:dyDescent="0.25">
      <c r="A587" s="92">
        <v>45431</v>
      </c>
      <c r="B587" s="88" t="s">
        <v>18</v>
      </c>
      <c r="C587" s="44">
        <v>1</v>
      </c>
    </row>
    <row r="588" spans="1:3" x14ac:dyDescent="0.25">
      <c r="A588" s="92">
        <v>45458</v>
      </c>
      <c r="B588" s="88" t="s">
        <v>248</v>
      </c>
      <c r="C588" s="43">
        <v>0.5</v>
      </c>
    </row>
    <row r="589" spans="1:3" x14ac:dyDescent="0.25">
      <c r="A589" s="92">
        <v>45459</v>
      </c>
      <c r="B589" s="88" t="s">
        <v>2289</v>
      </c>
      <c r="C589" s="44">
        <v>1</v>
      </c>
    </row>
    <row r="590" spans="1:3" x14ac:dyDescent="0.25">
      <c r="A590" s="92">
        <v>45460</v>
      </c>
      <c r="B590" s="88" t="s">
        <v>2289</v>
      </c>
      <c r="C590" s="44">
        <v>1</v>
      </c>
    </row>
    <row r="591" spans="1:3" x14ac:dyDescent="0.25">
      <c r="A591" s="92">
        <v>45461</v>
      </c>
      <c r="B591" s="88" t="s">
        <v>2289</v>
      </c>
      <c r="C591" s="44">
        <v>1</v>
      </c>
    </row>
    <row r="592" spans="1:3" x14ac:dyDescent="0.25">
      <c r="A592" s="92">
        <v>45462</v>
      </c>
      <c r="B592" s="88" t="s">
        <v>2289</v>
      </c>
      <c r="C592" s="44">
        <v>1</v>
      </c>
    </row>
    <row r="593" spans="1:3" x14ac:dyDescent="0.25">
      <c r="A593" s="92">
        <v>45488</v>
      </c>
      <c r="B593" s="88" t="s">
        <v>19</v>
      </c>
      <c r="C593" s="44">
        <v>1</v>
      </c>
    </row>
    <row r="594" spans="1:3" x14ac:dyDescent="0.25">
      <c r="A594" s="92">
        <v>45534</v>
      </c>
      <c r="B594" s="88" t="s">
        <v>20</v>
      </c>
      <c r="C594" s="44">
        <v>1</v>
      </c>
    </row>
    <row r="595" spans="1:3" x14ac:dyDescent="0.25">
      <c r="A595" s="92">
        <v>45593</v>
      </c>
      <c r="B595" s="88" t="s">
        <v>248</v>
      </c>
      <c r="C595" s="43">
        <v>0.5</v>
      </c>
    </row>
    <row r="596" spans="1:3" x14ac:dyDescent="0.25">
      <c r="A596" s="93">
        <v>45594</v>
      </c>
      <c r="B596" s="65" t="s">
        <v>21</v>
      </c>
      <c r="C596" s="44">
        <v>1</v>
      </c>
    </row>
  </sheetData>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D2410-5138-48E8-8405-073742AAF9A1}">
  <sheetPr codeName="Sayfa5"/>
  <dimension ref="A3:AE18"/>
  <sheetViews>
    <sheetView zoomScale="110" zoomScaleNormal="110" workbookViewId="0">
      <selection activeCell="J36" sqref="J36"/>
    </sheetView>
  </sheetViews>
  <sheetFormatPr defaultColWidth="3.5703125" defaultRowHeight="15" x14ac:dyDescent="0.25"/>
  <cols>
    <col min="1" max="6" width="4.28515625" style="2" customWidth="1"/>
    <col min="7" max="7" width="3.5703125" style="1"/>
    <col min="8" max="10" width="18.7109375" style="1" customWidth="1"/>
    <col min="11" max="17" width="3.42578125" style="1" customWidth="1"/>
    <col min="18" max="16384" width="3.5703125" style="1"/>
  </cols>
  <sheetData>
    <row r="3" spans="8:31" ht="13.9" customHeight="1" x14ac:dyDescent="0.25"/>
    <row r="4" spans="8:31" ht="14.45" customHeight="1" x14ac:dyDescent="0.25">
      <c r="H4" s="13" t="s">
        <v>22</v>
      </c>
      <c r="I4" s="12" t="s">
        <v>23</v>
      </c>
      <c r="J4" s="14"/>
    </row>
    <row r="5" spans="8:31" ht="14.45" customHeight="1" x14ac:dyDescent="0.25">
      <c r="H5" s="15"/>
      <c r="I5" s="15"/>
    </row>
    <row r="7" spans="8:31" x14ac:dyDescent="0.25">
      <c r="H7" s="13" t="s">
        <v>24</v>
      </c>
    </row>
    <row r="9" spans="8:31" x14ac:dyDescent="0.25">
      <c r="H9" s="16" t="s">
        <v>25</v>
      </c>
      <c r="I9" s="16" t="s">
        <v>26</v>
      </c>
      <c r="J9" s="16" t="s">
        <v>27</v>
      </c>
      <c r="P9" s="288" t="s">
        <v>34</v>
      </c>
      <c r="Q9" s="288"/>
      <c r="R9" s="288"/>
      <c r="S9" s="288"/>
      <c r="T9" s="288"/>
      <c r="U9" s="288"/>
      <c r="V9" s="288"/>
      <c r="W9" s="288"/>
      <c r="X9" s="288"/>
      <c r="Y9" s="288"/>
      <c r="Z9" s="288"/>
      <c r="AA9" s="288"/>
      <c r="AB9" s="288"/>
      <c r="AC9" s="288"/>
      <c r="AD9" s="288"/>
      <c r="AE9" s="288"/>
    </row>
    <row r="10" spans="8:31" ht="14.45" customHeight="1" x14ac:dyDescent="0.25">
      <c r="H10" s="5" t="s">
        <v>28</v>
      </c>
      <c r="I10" s="6" t="s">
        <v>29</v>
      </c>
      <c r="J10" s="4">
        <v>20</v>
      </c>
      <c r="P10" s="287" t="s">
        <v>35</v>
      </c>
      <c r="Q10" s="287"/>
      <c r="R10" s="287"/>
      <c r="S10" s="287"/>
      <c r="T10" s="287"/>
      <c r="U10" s="287"/>
      <c r="V10" s="287"/>
      <c r="W10" s="287"/>
      <c r="X10" s="287"/>
      <c r="Y10" s="287"/>
      <c r="Z10" s="287"/>
      <c r="AA10" s="287"/>
      <c r="AB10" s="287"/>
      <c r="AC10" s="287"/>
      <c r="AD10" s="287"/>
      <c r="AE10" s="287"/>
    </row>
    <row r="11" spans="8:31" x14ac:dyDescent="0.25">
      <c r="H11" s="5" t="s">
        <v>28</v>
      </c>
      <c r="I11" s="6" t="s">
        <v>30</v>
      </c>
      <c r="J11" s="4">
        <v>20</v>
      </c>
      <c r="P11" s="287"/>
      <c r="Q11" s="287"/>
      <c r="R11" s="287"/>
      <c r="S11" s="287"/>
      <c r="T11" s="287"/>
      <c r="U11" s="287"/>
      <c r="V11" s="287"/>
      <c r="W11" s="287"/>
      <c r="X11" s="287"/>
      <c r="Y11" s="287"/>
      <c r="Z11" s="287"/>
      <c r="AA11" s="287"/>
      <c r="AB11" s="287"/>
      <c r="AC11" s="287"/>
      <c r="AD11" s="287"/>
      <c r="AE11" s="287"/>
    </row>
    <row r="12" spans="8:31" x14ac:dyDescent="0.25">
      <c r="H12" s="5" t="s">
        <v>28</v>
      </c>
      <c r="I12" s="6" t="s">
        <v>31</v>
      </c>
      <c r="J12" s="4">
        <v>26</v>
      </c>
      <c r="P12" s="287"/>
      <c r="Q12" s="287"/>
      <c r="R12" s="287"/>
      <c r="S12" s="287"/>
      <c r="T12" s="287"/>
      <c r="U12" s="287"/>
      <c r="V12" s="287"/>
      <c r="W12" s="287"/>
      <c r="X12" s="287"/>
      <c r="Y12" s="287"/>
      <c r="Z12" s="287"/>
      <c r="AA12" s="287"/>
      <c r="AB12" s="287"/>
      <c r="AC12" s="287"/>
      <c r="AD12" s="287"/>
      <c r="AE12" s="287"/>
    </row>
    <row r="13" spans="8:31" x14ac:dyDescent="0.25">
      <c r="H13" s="7" t="s">
        <v>32</v>
      </c>
      <c r="I13" s="8" t="s">
        <v>29</v>
      </c>
      <c r="J13" s="9">
        <v>14</v>
      </c>
      <c r="P13" s="287"/>
      <c r="Q13" s="287"/>
      <c r="R13" s="287"/>
      <c r="S13" s="287"/>
      <c r="T13" s="287"/>
      <c r="U13" s="287"/>
      <c r="V13" s="287"/>
      <c r="W13" s="287"/>
      <c r="X13" s="287"/>
      <c r="Y13" s="287"/>
      <c r="Z13" s="287"/>
      <c r="AA13" s="287"/>
      <c r="AB13" s="287"/>
      <c r="AC13" s="287"/>
      <c r="AD13" s="287"/>
      <c r="AE13" s="287"/>
    </row>
    <row r="14" spans="8:31" x14ac:dyDescent="0.25">
      <c r="H14" s="7" t="s">
        <v>32</v>
      </c>
      <c r="I14" s="8" t="s">
        <v>30</v>
      </c>
      <c r="J14" s="9">
        <v>20</v>
      </c>
      <c r="P14" s="287"/>
      <c r="Q14" s="287"/>
      <c r="R14" s="287"/>
      <c r="S14" s="287"/>
      <c r="T14" s="287"/>
      <c r="U14" s="287"/>
      <c r="V14" s="287"/>
      <c r="W14" s="287"/>
      <c r="X14" s="287"/>
      <c r="Y14" s="287"/>
      <c r="Z14" s="287"/>
      <c r="AA14" s="287"/>
      <c r="AB14" s="287"/>
      <c r="AC14" s="287"/>
      <c r="AD14" s="287"/>
      <c r="AE14" s="287"/>
    </row>
    <row r="15" spans="8:31" x14ac:dyDescent="0.25">
      <c r="H15" s="7" t="s">
        <v>32</v>
      </c>
      <c r="I15" s="8" t="s">
        <v>31</v>
      </c>
      <c r="J15" s="9">
        <v>26</v>
      </c>
      <c r="P15" s="287"/>
      <c r="Q15" s="287"/>
      <c r="R15" s="287"/>
      <c r="S15" s="287"/>
      <c r="T15" s="287"/>
      <c r="U15" s="287"/>
      <c r="V15" s="287"/>
      <c r="W15" s="287"/>
      <c r="X15" s="287"/>
      <c r="Y15" s="287"/>
      <c r="Z15" s="287"/>
      <c r="AA15" s="287"/>
      <c r="AB15" s="287"/>
      <c r="AC15" s="287"/>
      <c r="AD15" s="287"/>
      <c r="AE15" s="287"/>
    </row>
    <row r="16" spans="8:31" x14ac:dyDescent="0.25">
      <c r="H16" s="5" t="s">
        <v>33</v>
      </c>
      <c r="I16" s="6" t="s">
        <v>29</v>
      </c>
      <c r="J16" s="4">
        <v>20</v>
      </c>
      <c r="P16" s="287"/>
      <c r="Q16" s="287"/>
      <c r="R16" s="287"/>
      <c r="S16" s="287"/>
      <c r="T16" s="287"/>
      <c r="U16" s="287"/>
      <c r="V16" s="287"/>
      <c r="W16" s="287"/>
      <c r="X16" s="287"/>
      <c r="Y16" s="287"/>
      <c r="Z16" s="287"/>
      <c r="AA16" s="287"/>
      <c r="AB16" s="287"/>
      <c r="AC16" s="287"/>
      <c r="AD16" s="287"/>
      <c r="AE16" s="287"/>
    </row>
    <row r="17" spans="8:31" x14ac:dyDescent="0.25">
      <c r="H17" s="5" t="s">
        <v>33</v>
      </c>
      <c r="I17" s="6" t="s">
        <v>30</v>
      </c>
      <c r="J17" s="4">
        <v>20</v>
      </c>
      <c r="P17" s="287"/>
      <c r="Q17" s="287"/>
      <c r="R17" s="287"/>
      <c r="S17" s="287"/>
      <c r="T17" s="287"/>
      <c r="U17" s="287"/>
      <c r="V17" s="287"/>
      <c r="W17" s="287"/>
      <c r="X17" s="287"/>
      <c r="Y17" s="287"/>
      <c r="Z17" s="287"/>
      <c r="AA17" s="287"/>
      <c r="AB17" s="287"/>
      <c r="AC17" s="287"/>
      <c r="AD17" s="287"/>
      <c r="AE17" s="287"/>
    </row>
    <row r="18" spans="8:31" x14ac:dyDescent="0.25">
      <c r="H18" s="10" t="s">
        <v>33</v>
      </c>
      <c r="I18" s="11" t="s">
        <v>31</v>
      </c>
      <c r="J18" s="3">
        <v>26</v>
      </c>
      <c r="P18" s="287"/>
      <c r="Q18" s="287"/>
      <c r="R18" s="287"/>
      <c r="S18" s="287"/>
      <c r="T18" s="287"/>
      <c r="U18" s="287"/>
      <c r="V18" s="287"/>
      <c r="W18" s="287"/>
      <c r="X18" s="287"/>
      <c r="Y18" s="287"/>
      <c r="Z18" s="287"/>
      <c r="AA18" s="287"/>
      <c r="AB18" s="287"/>
      <c r="AC18" s="287"/>
      <c r="AD18" s="287"/>
      <c r="AE18" s="287"/>
    </row>
  </sheetData>
  <mergeCells count="2">
    <mergeCell ref="P10:AE18"/>
    <mergeCell ref="P9:AE9"/>
  </mergeCells>
  <dataValidations count="1">
    <dataValidation type="list" allowBlank="1" showInputMessage="1" showErrorMessage="1" sqref="I4" xr:uid="{93A08CC6-8C6A-4A21-8498-E048F5E003C4}">
      <formula1>"Cumartesi ve Pazar,Yalnızca Pazar"</formula1>
    </dataValidation>
  </dataValidations>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A8B2B-891E-43D2-BCE5-80BE126F8BF9}">
  <sheetPr codeName="Sayfa6"/>
  <dimension ref="A1:H302"/>
  <sheetViews>
    <sheetView topLeftCell="A249" workbookViewId="0">
      <selection activeCell="A2" sqref="A2:E3"/>
    </sheetView>
  </sheetViews>
  <sheetFormatPr defaultRowHeight="15" x14ac:dyDescent="0.25"/>
  <cols>
    <col min="1" max="2" width="12.7109375" style="21" customWidth="1"/>
    <col min="3" max="3" width="12.7109375" customWidth="1"/>
    <col min="4" max="5" width="15.42578125" style="20" customWidth="1"/>
    <col min="7" max="7" width="17" bestFit="1" customWidth="1"/>
    <col min="15" max="15" width="11.28515625" bestFit="1" customWidth="1"/>
  </cols>
  <sheetData>
    <row r="1" spans="1:8" ht="16.5" thickTop="1" thickBot="1" x14ac:dyDescent="0.3">
      <c r="A1" s="17" t="s">
        <v>6</v>
      </c>
      <c r="B1" s="17" t="s">
        <v>36</v>
      </c>
      <c r="C1" s="18" t="s">
        <v>7</v>
      </c>
      <c r="D1" s="18" t="s">
        <v>37</v>
      </c>
      <c r="E1" s="18" t="s">
        <v>38</v>
      </c>
      <c r="G1" s="19" t="s">
        <v>39</v>
      </c>
      <c r="H1" s="20">
        <f>IF(Ayarlar!I4="YALNIZCA PAZAR",11,1)</f>
        <v>1</v>
      </c>
    </row>
    <row r="2" spans="1:8" ht="16.5" thickTop="1" thickBot="1" x14ac:dyDescent="0.3">
      <c r="A2" s="22" t="s">
        <v>40</v>
      </c>
      <c r="B2" s="22">
        <v>0</v>
      </c>
      <c r="C2" s="23" t="s">
        <v>28</v>
      </c>
      <c r="D2" s="23">
        <v>0</v>
      </c>
      <c r="E2" s="23">
        <v>0</v>
      </c>
    </row>
    <row r="3" spans="1:8" ht="16.5" thickTop="1" thickBot="1" x14ac:dyDescent="0.3">
      <c r="A3" s="17" t="s">
        <v>41</v>
      </c>
      <c r="B3" s="17" t="s">
        <v>29</v>
      </c>
      <c r="C3" s="18" t="s">
        <v>28</v>
      </c>
      <c r="D3" s="18">
        <f>SUMIFS(Tablo4[İzin Hakediş],Tablo4[Yaş Aralığı],Veri!C3,Tablo4[Kıdem Aralığı],Veri!B3)</f>
        <v>20</v>
      </c>
      <c r="E3" s="18">
        <f>D3</f>
        <v>20</v>
      </c>
    </row>
    <row r="4" spans="1:8" ht="16.5" thickTop="1" thickBot="1" x14ac:dyDescent="0.3">
      <c r="A4" s="17" t="s">
        <v>42</v>
      </c>
      <c r="B4" s="17" t="s">
        <v>29</v>
      </c>
      <c r="C4" s="18" t="s">
        <v>28</v>
      </c>
      <c r="D4" s="18">
        <f>SUMIFS(Tablo4[İzin Hakediş],Tablo4[Yaş Aralığı],Veri!C4,Tablo4[Kıdem Aralığı],Veri!B4)</f>
        <v>20</v>
      </c>
      <c r="E4" s="18">
        <f>E3+D4</f>
        <v>40</v>
      </c>
    </row>
    <row r="5" spans="1:8" ht="16.5" thickTop="1" thickBot="1" x14ac:dyDescent="0.3">
      <c r="A5" s="17" t="s">
        <v>43</v>
      </c>
      <c r="B5" s="17" t="s">
        <v>29</v>
      </c>
      <c r="C5" s="18" t="s">
        <v>28</v>
      </c>
      <c r="D5" s="18">
        <f>SUMIFS(Tablo4[İzin Hakediş],Tablo4[Yaş Aralığı],Veri!C5,Tablo4[Kıdem Aralığı],Veri!B5)</f>
        <v>20</v>
      </c>
      <c r="E5" s="18">
        <f t="shared" ref="E5:E68" si="0">E4+D5</f>
        <v>60</v>
      </c>
    </row>
    <row r="6" spans="1:8" ht="16.5" thickTop="1" thickBot="1" x14ac:dyDescent="0.3">
      <c r="A6" s="17" t="s">
        <v>44</v>
      </c>
      <c r="B6" s="17" t="s">
        <v>29</v>
      </c>
      <c r="C6" s="18" t="s">
        <v>28</v>
      </c>
      <c r="D6" s="18">
        <f>SUMIFS(Tablo4[İzin Hakediş],Tablo4[Yaş Aralığı],Veri!C6,Tablo4[Kıdem Aralığı],Veri!B6)</f>
        <v>20</v>
      </c>
      <c r="E6" s="18">
        <f t="shared" si="0"/>
        <v>80</v>
      </c>
    </row>
    <row r="7" spans="1:8" ht="16.5" thickTop="1" thickBot="1" x14ac:dyDescent="0.3">
      <c r="A7" s="17" t="s">
        <v>45</v>
      </c>
      <c r="B7" s="17" t="s">
        <v>29</v>
      </c>
      <c r="C7" s="18" t="s">
        <v>28</v>
      </c>
      <c r="D7" s="18">
        <f>SUMIFS(Tablo4[İzin Hakediş],Tablo4[Yaş Aralığı],Veri!C7,Tablo4[Kıdem Aralığı],Veri!B7)</f>
        <v>20</v>
      </c>
      <c r="E7" s="18">
        <f t="shared" si="0"/>
        <v>100</v>
      </c>
    </row>
    <row r="8" spans="1:8" ht="16.5" thickTop="1" thickBot="1" x14ac:dyDescent="0.3">
      <c r="A8" s="17" t="s">
        <v>46</v>
      </c>
      <c r="B8" s="17" t="s">
        <v>30</v>
      </c>
      <c r="C8" s="18" t="s">
        <v>28</v>
      </c>
      <c r="D8" s="18">
        <f>SUMIFS(Tablo4[İzin Hakediş],Tablo4[Yaş Aralığı],Veri!C8,Tablo4[Kıdem Aralığı],Veri!B8)</f>
        <v>20</v>
      </c>
      <c r="E8" s="18">
        <f t="shared" si="0"/>
        <v>120</v>
      </c>
    </row>
    <row r="9" spans="1:8" ht="16.5" thickTop="1" thickBot="1" x14ac:dyDescent="0.3">
      <c r="A9" s="17" t="s">
        <v>47</v>
      </c>
      <c r="B9" s="17" t="s">
        <v>30</v>
      </c>
      <c r="C9" s="18" t="s">
        <v>28</v>
      </c>
      <c r="D9" s="18">
        <f>SUMIFS(Tablo4[İzin Hakediş],Tablo4[Yaş Aralığı],Veri!C9,Tablo4[Kıdem Aralığı],Veri!B9)</f>
        <v>20</v>
      </c>
      <c r="E9" s="18">
        <f t="shared" si="0"/>
        <v>140</v>
      </c>
    </row>
    <row r="10" spans="1:8" ht="16.5" thickTop="1" thickBot="1" x14ac:dyDescent="0.3">
      <c r="A10" s="17" t="s">
        <v>48</v>
      </c>
      <c r="B10" s="17" t="s">
        <v>30</v>
      </c>
      <c r="C10" s="18" t="s">
        <v>28</v>
      </c>
      <c r="D10" s="18">
        <f>SUMIFS(Tablo4[İzin Hakediş],Tablo4[Yaş Aralığı],Veri!C10,Tablo4[Kıdem Aralığı],Veri!B10)</f>
        <v>20</v>
      </c>
      <c r="E10" s="18">
        <f t="shared" si="0"/>
        <v>160</v>
      </c>
    </row>
    <row r="11" spans="1:8" ht="16.5" thickTop="1" thickBot="1" x14ac:dyDescent="0.3">
      <c r="A11" s="17" t="s">
        <v>49</v>
      </c>
      <c r="B11" s="17" t="s">
        <v>30</v>
      </c>
      <c r="C11" s="18" t="s">
        <v>28</v>
      </c>
      <c r="D11" s="18">
        <f>SUMIFS(Tablo4[İzin Hakediş],Tablo4[Yaş Aralığı],Veri!C11,Tablo4[Kıdem Aralığı],Veri!B11)</f>
        <v>20</v>
      </c>
      <c r="E11" s="18">
        <f t="shared" si="0"/>
        <v>180</v>
      </c>
    </row>
    <row r="12" spans="1:8" ht="16.5" thickTop="1" thickBot="1" x14ac:dyDescent="0.3">
      <c r="A12" s="17" t="s">
        <v>50</v>
      </c>
      <c r="B12" s="17" t="s">
        <v>30</v>
      </c>
      <c r="C12" s="18" t="s">
        <v>28</v>
      </c>
      <c r="D12" s="18">
        <f>SUMIFS(Tablo4[İzin Hakediş],Tablo4[Yaş Aralığı],Veri!C12,Tablo4[Kıdem Aralığı],Veri!B12)</f>
        <v>20</v>
      </c>
      <c r="E12" s="18">
        <f t="shared" si="0"/>
        <v>200</v>
      </c>
    </row>
    <row r="13" spans="1:8" ht="16.5" thickTop="1" thickBot="1" x14ac:dyDescent="0.3">
      <c r="A13" s="17" t="s">
        <v>51</v>
      </c>
      <c r="B13" s="17" t="s">
        <v>30</v>
      </c>
      <c r="C13" s="18" t="s">
        <v>28</v>
      </c>
      <c r="D13" s="18">
        <f>SUMIFS(Tablo4[İzin Hakediş],Tablo4[Yaş Aralığı],Veri!C13,Tablo4[Kıdem Aralığı],Veri!B13)</f>
        <v>20</v>
      </c>
      <c r="E13" s="18">
        <f t="shared" si="0"/>
        <v>220</v>
      </c>
    </row>
    <row r="14" spans="1:8" ht="16.5" thickTop="1" thickBot="1" x14ac:dyDescent="0.3">
      <c r="A14" s="17" t="s">
        <v>52</v>
      </c>
      <c r="B14" s="17" t="s">
        <v>30</v>
      </c>
      <c r="C14" s="18" t="s">
        <v>28</v>
      </c>
      <c r="D14" s="18">
        <f>SUMIFS(Tablo4[İzin Hakediş],Tablo4[Yaş Aralığı],Veri!C14,Tablo4[Kıdem Aralığı],Veri!B14)</f>
        <v>20</v>
      </c>
      <c r="E14" s="18">
        <f t="shared" si="0"/>
        <v>240</v>
      </c>
    </row>
    <row r="15" spans="1:8" ht="16.5" thickTop="1" thickBot="1" x14ac:dyDescent="0.3">
      <c r="A15" s="17" t="s">
        <v>53</v>
      </c>
      <c r="B15" s="17" t="s">
        <v>30</v>
      </c>
      <c r="C15" s="18" t="s">
        <v>28</v>
      </c>
      <c r="D15" s="18">
        <f>SUMIFS(Tablo4[İzin Hakediş],Tablo4[Yaş Aralığı],Veri!C15,Tablo4[Kıdem Aralığı],Veri!B15)</f>
        <v>20</v>
      </c>
      <c r="E15" s="18">
        <f t="shared" si="0"/>
        <v>260</v>
      </c>
    </row>
    <row r="16" spans="1:8" ht="16.5" thickTop="1" thickBot="1" x14ac:dyDescent="0.3">
      <c r="A16" s="17" t="s">
        <v>54</v>
      </c>
      <c r="B16" s="17" t="s">
        <v>30</v>
      </c>
      <c r="C16" s="18" t="s">
        <v>28</v>
      </c>
      <c r="D16" s="18">
        <f>SUMIFS(Tablo4[İzin Hakediş],Tablo4[Yaş Aralığı],Veri!C16,Tablo4[Kıdem Aralığı],Veri!B16)</f>
        <v>20</v>
      </c>
      <c r="E16" s="18">
        <f t="shared" si="0"/>
        <v>280</v>
      </c>
    </row>
    <row r="17" spans="1:5" ht="16.5" thickTop="1" thickBot="1" x14ac:dyDescent="0.3">
      <c r="A17" s="17" t="s">
        <v>55</v>
      </c>
      <c r="B17" s="17" t="s">
        <v>31</v>
      </c>
      <c r="C17" s="18" t="s">
        <v>28</v>
      </c>
      <c r="D17" s="18">
        <f>SUMIFS(Tablo4[İzin Hakediş],Tablo4[Yaş Aralığı],Veri!C17,Tablo4[Kıdem Aralığı],Veri!B17)</f>
        <v>26</v>
      </c>
      <c r="E17" s="18">
        <f t="shared" si="0"/>
        <v>306</v>
      </c>
    </row>
    <row r="18" spans="1:5" ht="16.5" thickTop="1" thickBot="1" x14ac:dyDescent="0.3">
      <c r="A18" s="17" t="s">
        <v>56</v>
      </c>
      <c r="B18" s="17" t="s">
        <v>31</v>
      </c>
      <c r="C18" s="18" t="s">
        <v>28</v>
      </c>
      <c r="D18" s="18">
        <f>SUMIFS(Tablo4[İzin Hakediş],Tablo4[Yaş Aralığı],Veri!C18,Tablo4[Kıdem Aralığı],Veri!B18)</f>
        <v>26</v>
      </c>
      <c r="E18" s="18">
        <f t="shared" si="0"/>
        <v>332</v>
      </c>
    </row>
    <row r="19" spans="1:5" ht="16.5" thickTop="1" thickBot="1" x14ac:dyDescent="0.3">
      <c r="A19" s="17" t="s">
        <v>57</v>
      </c>
      <c r="B19" s="17" t="s">
        <v>31</v>
      </c>
      <c r="C19" s="18" t="s">
        <v>28</v>
      </c>
      <c r="D19" s="18">
        <f>SUMIFS(Tablo4[İzin Hakediş],Tablo4[Yaş Aralığı],Veri!C19,Tablo4[Kıdem Aralığı],Veri!B19)</f>
        <v>26</v>
      </c>
      <c r="E19" s="18">
        <f t="shared" si="0"/>
        <v>358</v>
      </c>
    </row>
    <row r="20" spans="1:5" ht="16.5" thickTop="1" thickBot="1" x14ac:dyDescent="0.3">
      <c r="A20" s="17" t="s">
        <v>58</v>
      </c>
      <c r="B20" s="17" t="s">
        <v>31</v>
      </c>
      <c r="C20" s="18" t="s">
        <v>28</v>
      </c>
      <c r="D20" s="18">
        <f>SUMIFS(Tablo4[İzin Hakediş],Tablo4[Yaş Aralığı],Veri!C20,Tablo4[Kıdem Aralığı],Veri!B20)</f>
        <v>26</v>
      </c>
      <c r="E20" s="18">
        <f t="shared" si="0"/>
        <v>384</v>
      </c>
    </row>
    <row r="21" spans="1:5" ht="16.5" thickTop="1" thickBot="1" x14ac:dyDescent="0.3">
      <c r="A21" s="17" t="s">
        <v>59</v>
      </c>
      <c r="B21" s="17" t="s">
        <v>31</v>
      </c>
      <c r="C21" s="18" t="s">
        <v>28</v>
      </c>
      <c r="D21" s="18">
        <f>SUMIFS(Tablo4[İzin Hakediş],Tablo4[Yaş Aralığı],Veri!C21,Tablo4[Kıdem Aralığı],Veri!B21)</f>
        <v>26</v>
      </c>
      <c r="E21" s="18">
        <f t="shared" si="0"/>
        <v>410</v>
      </c>
    </row>
    <row r="22" spans="1:5" ht="16.5" thickTop="1" thickBot="1" x14ac:dyDescent="0.3">
      <c r="A22" s="17" t="s">
        <v>60</v>
      </c>
      <c r="B22" s="17" t="s">
        <v>31</v>
      </c>
      <c r="C22" s="18" t="s">
        <v>28</v>
      </c>
      <c r="D22" s="18">
        <f>SUMIFS(Tablo4[İzin Hakediş],Tablo4[Yaş Aralığı],Veri!C22,Tablo4[Kıdem Aralığı],Veri!B22)</f>
        <v>26</v>
      </c>
      <c r="E22" s="18">
        <f t="shared" si="0"/>
        <v>436</v>
      </c>
    </row>
    <row r="23" spans="1:5" ht="16.5" thickTop="1" thickBot="1" x14ac:dyDescent="0.3">
      <c r="A23" s="17" t="s">
        <v>61</v>
      </c>
      <c r="B23" s="17" t="s">
        <v>31</v>
      </c>
      <c r="C23" s="18" t="s">
        <v>28</v>
      </c>
      <c r="D23" s="18">
        <f>SUMIFS(Tablo4[İzin Hakediş],Tablo4[Yaş Aralığı],Veri!C23,Tablo4[Kıdem Aralığı],Veri!B23)</f>
        <v>26</v>
      </c>
      <c r="E23" s="18">
        <f t="shared" si="0"/>
        <v>462</v>
      </c>
    </row>
    <row r="24" spans="1:5" ht="16.5" thickTop="1" thickBot="1" x14ac:dyDescent="0.3">
      <c r="A24" s="17" t="s">
        <v>62</v>
      </c>
      <c r="B24" s="17" t="s">
        <v>31</v>
      </c>
      <c r="C24" s="18" t="s">
        <v>28</v>
      </c>
      <c r="D24" s="18">
        <f>SUMIFS(Tablo4[İzin Hakediş],Tablo4[Yaş Aralığı],Veri!C24,Tablo4[Kıdem Aralığı],Veri!B24)</f>
        <v>26</v>
      </c>
      <c r="E24" s="18">
        <f t="shared" si="0"/>
        <v>488</v>
      </c>
    </row>
    <row r="25" spans="1:5" ht="16.5" thickTop="1" thickBot="1" x14ac:dyDescent="0.3">
      <c r="A25" s="17" t="s">
        <v>63</v>
      </c>
      <c r="B25" s="17" t="s">
        <v>31</v>
      </c>
      <c r="C25" s="18" t="s">
        <v>28</v>
      </c>
      <c r="D25" s="18">
        <f>SUMIFS(Tablo4[İzin Hakediş],Tablo4[Yaş Aralığı],Veri!C25,Tablo4[Kıdem Aralığı],Veri!B25)</f>
        <v>26</v>
      </c>
      <c r="E25" s="18">
        <f t="shared" si="0"/>
        <v>514</v>
      </c>
    </row>
    <row r="26" spans="1:5" ht="16.5" thickTop="1" thickBot="1" x14ac:dyDescent="0.3">
      <c r="A26" s="17" t="s">
        <v>64</v>
      </c>
      <c r="B26" s="17" t="s">
        <v>31</v>
      </c>
      <c r="C26" s="18" t="s">
        <v>28</v>
      </c>
      <c r="D26" s="18">
        <f>SUMIFS(Tablo4[İzin Hakediş],Tablo4[Yaş Aralığı],Veri!C26,Tablo4[Kıdem Aralığı],Veri!B26)</f>
        <v>26</v>
      </c>
      <c r="E26" s="18">
        <f t="shared" si="0"/>
        <v>540</v>
      </c>
    </row>
    <row r="27" spans="1:5" ht="16.5" thickTop="1" thickBot="1" x14ac:dyDescent="0.3">
      <c r="A27" s="17" t="s">
        <v>65</v>
      </c>
      <c r="B27" s="17" t="s">
        <v>31</v>
      </c>
      <c r="C27" s="18" t="s">
        <v>28</v>
      </c>
      <c r="D27" s="18">
        <f>SUMIFS(Tablo4[İzin Hakediş],Tablo4[Yaş Aralığı],Veri!C27,Tablo4[Kıdem Aralığı],Veri!B27)</f>
        <v>26</v>
      </c>
      <c r="E27" s="18">
        <f t="shared" si="0"/>
        <v>566</v>
      </c>
    </row>
    <row r="28" spans="1:5" ht="16.5" thickTop="1" thickBot="1" x14ac:dyDescent="0.3">
      <c r="A28" s="17" t="s">
        <v>66</v>
      </c>
      <c r="B28" s="17" t="s">
        <v>31</v>
      </c>
      <c r="C28" s="18" t="s">
        <v>28</v>
      </c>
      <c r="D28" s="18">
        <f>SUMIFS(Tablo4[İzin Hakediş],Tablo4[Yaş Aralığı],Veri!C28,Tablo4[Kıdem Aralığı],Veri!B28)</f>
        <v>26</v>
      </c>
      <c r="E28" s="18">
        <f t="shared" si="0"/>
        <v>592</v>
      </c>
    </row>
    <row r="29" spans="1:5" ht="16.5" thickTop="1" thickBot="1" x14ac:dyDescent="0.3">
      <c r="A29" s="17" t="s">
        <v>67</v>
      </c>
      <c r="B29" s="17" t="s">
        <v>31</v>
      </c>
      <c r="C29" s="18" t="s">
        <v>28</v>
      </c>
      <c r="D29" s="18">
        <f>SUMIFS(Tablo4[İzin Hakediş],Tablo4[Yaş Aralığı],Veri!C29,Tablo4[Kıdem Aralığı],Veri!B29)</f>
        <v>26</v>
      </c>
      <c r="E29" s="18">
        <f t="shared" si="0"/>
        <v>618</v>
      </c>
    </row>
    <row r="30" spans="1:5" ht="16.5" thickTop="1" thickBot="1" x14ac:dyDescent="0.3">
      <c r="A30" s="17" t="s">
        <v>68</v>
      </c>
      <c r="B30" s="17" t="s">
        <v>31</v>
      </c>
      <c r="C30" s="18" t="s">
        <v>28</v>
      </c>
      <c r="D30" s="18">
        <f>SUMIFS(Tablo4[İzin Hakediş],Tablo4[Yaş Aralığı],Veri!C30,Tablo4[Kıdem Aralığı],Veri!B30)</f>
        <v>26</v>
      </c>
      <c r="E30" s="18">
        <f t="shared" si="0"/>
        <v>644</v>
      </c>
    </row>
    <row r="31" spans="1:5" ht="16.5" thickTop="1" thickBot="1" x14ac:dyDescent="0.3">
      <c r="A31" s="17" t="s">
        <v>69</v>
      </c>
      <c r="B31" s="17" t="s">
        <v>31</v>
      </c>
      <c r="C31" s="18" t="s">
        <v>28</v>
      </c>
      <c r="D31" s="18">
        <f>SUMIFS(Tablo4[İzin Hakediş],Tablo4[Yaş Aralığı],Veri!C31,Tablo4[Kıdem Aralığı],Veri!B31)</f>
        <v>26</v>
      </c>
      <c r="E31" s="18">
        <f t="shared" si="0"/>
        <v>670</v>
      </c>
    </row>
    <row r="32" spans="1:5" ht="16.5" thickTop="1" thickBot="1" x14ac:dyDescent="0.3">
      <c r="A32" s="17" t="s">
        <v>70</v>
      </c>
      <c r="B32" s="17" t="s">
        <v>31</v>
      </c>
      <c r="C32" s="18" t="s">
        <v>28</v>
      </c>
      <c r="D32" s="18">
        <f>SUMIFS(Tablo4[İzin Hakediş],Tablo4[Yaş Aralığı],Veri!C32,Tablo4[Kıdem Aralığı],Veri!B32)</f>
        <v>26</v>
      </c>
      <c r="E32" s="18">
        <f t="shared" si="0"/>
        <v>696</v>
      </c>
    </row>
    <row r="33" spans="1:5" ht="16.5" thickTop="1" thickBot="1" x14ac:dyDescent="0.3">
      <c r="A33" s="17" t="s">
        <v>71</v>
      </c>
      <c r="B33" s="17" t="s">
        <v>31</v>
      </c>
      <c r="C33" s="18" t="s">
        <v>28</v>
      </c>
      <c r="D33" s="18">
        <f>SUMIFS(Tablo4[İzin Hakediş],Tablo4[Yaş Aralığı],Veri!C33,Tablo4[Kıdem Aralığı],Veri!B33)</f>
        <v>26</v>
      </c>
      <c r="E33" s="18">
        <f t="shared" si="0"/>
        <v>722</v>
      </c>
    </row>
    <row r="34" spans="1:5" ht="16.5" thickTop="1" thickBot="1" x14ac:dyDescent="0.3">
      <c r="A34" s="17" t="s">
        <v>72</v>
      </c>
      <c r="B34" s="17" t="s">
        <v>31</v>
      </c>
      <c r="C34" s="18" t="s">
        <v>28</v>
      </c>
      <c r="D34" s="18">
        <f>SUMIFS(Tablo4[İzin Hakediş],Tablo4[Yaş Aralığı],Veri!C34,Tablo4[Kıdem Aralığı],Veri!B34)</f>
        <v>26</v>
      </c>
      <c r="E34" s="18">
        <f t="shared" si="0"/>
        <v>748</v>
      </c>
    </row>
    <row r="35" spans="1:5" ht="16.5" thickTop="1" thickBot="1" x14ac:dyDescent="0.3">
      <c r="A35" s="17" t="s">
        <v>73</v>
      </c>
      <c r="B35" s="17" t="s">
        <v>31</v>
      </c>
      <c r="C35" s="18" t="s">
        <v>28</v>
      </c>
      <c r="D35" s="18">
        <f>SUMIFS(Tablo4[İzin Hakediş],Tablo4[Yaş Aralığı],Veri!C35,Tablo4[Kıdem Aralığı],Veri!B35)</f>
        <v>26</v>
      </c>
      <c r="E35" s="18">
        <f t="shared" si="0"/>
        <v>774</v>
      </c>
    </row>
    <row r="36" spans="1:5" ht="16.5" thickTop="1" thickBot="1" x14ac:dyDescent="0.3">
      <c r="A36" s="17" t="s">
        <v>74</v>
      </c>
      <c r="B36" s="17" t="s">
        <v>31</v>
      </c>
      <c r="C36" s="18" t="s">
        <v>28</v>
      </c>
      <c r="D36" s="18">
        <f>SUMIFS(Tablo4[İzin Hakediş],Tablo4[Yaş Aralığı],Veri!C36,Tablo4[Kıdem Aralığı],Veri!B36)</f>
        <v>26</v>
      </c>
      <c r="E36" s="18">
        <f t="shared" si="0"/>
        <v>800</v>
      </c>
    </row>
    <row r="37" spans="1:5" ht="16.5" thickTop="1" thickBot="1" x14ac:dyDescent="0.3">
      <c r="A37" s="17" t="s">
        <v>75</v>
      </c>
      <c r="B37" s="17" t="s">
        <v>31</v>
      </c>
      <c r="C37" s="18" t="s">
        <v>28</v>
      </c>
      <c r="D37" s="18">
        <f>SUMIFS(Tablo4[İzin Hakediş],Tablo4[Yaş Aralığı],Veri!C37,Tablo4[Kıdem Aralığı],Veri!B37)</f>
        <v>26</v>
      </c>
      <c r="E37" s="18">
        <f t="shared" si="0"/>
        <v>826</v>
      </c>
    </row>
    <row r="38" spans="1:5" ht="16.5" thickTop="1" thickBot="1" x14ac:dyDescent="0.3">
      <c r="A38" s="17" t="s">
        <v>76</v>
      </c>
      <c r="B38" s="17" t="s">
        <v>31</v>
      </c>
      <c r="C38" s="18" t="s">
        <v>28</v>
      </c>
      <c r="D38" s="18">
        <f>SUMIFS(Tablo4[İzin Hakediş],Tablo4[Yaş Aralığı],Veri!C38,Tablo4[Kıdem Aralığı],Veri!B38)</f>
        <v>26</v>
      </c>
      <c r="E38" s="18">
        <f t="shared" si="0"/>
        <v>852</v>
      </c>
    </row>
    <row r="39" spans="1:5" ht="16.5" thickTop="1" thickBot="1" x14ac:dyDescent="0.3">
      <c r="A39" s="17" t="s">
        <v>77</v>
      </c>
      <c r="B39" s="17" t="s">
        <v>31</v>
      </c>
      <c r="C39" s="18" t="s">
        <v>28</v>
      </c>
      <c r="D39" s="18">
        <f>SUMIFS(Tablo4[İzin Hakediş],Tablo4[Yaş Aralığı],Veri!C39,Tablo4[Kıdem Aralığı],Veri!B39)</f>
        <v>26</v>
      </c>
      <c r="E39" s="18">
        <f t="shared" si="0"/>
        <v>878</v>
      </c>
    </row>
    <row r="40" spans="1:5" ht="16.5" thickTop="1" thickBot="1" x14ac:dyDescent="0.3">
      <c r="A40" s="17" t="s">
        <v>78</v>
      </c>
      <c r="B40" s="17" t="s">
        <v>31</v>
      </c>
      <c r="C40" s="18" t="s">
        <v>28</v>
      </c>
      <c r="D40" s="18">
        <f>SUMIFS(Tablo4[İzin Hakediş],Tablo4[Yaş Aralığı],Veri!C40,Tablo4[Kıdem Aralığı],Veri!B40)</f>
        <v>26</v>
      </c>
      <c r="E40" s="18">
        <f t="shared" si="0"/>
        <v>904</v>
      </c>
    </row>
    <row r="41" spans="1:5" ht="16.5" thickTop="1" thickBot="1" x14ac:dyDescent="0.3">
      <c r="A41" s="17" t="s">
        <v>79</v>
      </c>
      <c r="B41" s="17" t="s">
        <v>31</v>
      </c>
      <c r="C41" s="18" t="s">
        <v>28</v>
      </c>
      <c r="D41" s="18">
        <f>SUMIFS(Tablo4[İzin Hakediş],Tablo4[Yaş Aralığı],Veri!C41,Tablo4[Kıdem Aralığı],Veri!B41)</f>
        <v>26</v>
      </c>
      <c r="E41" s="18">
        <f t="shared" si="0"/>
        <v>930</v>
      </c>
    </row>
    <row r="42" spans="1:5" ht="16.5" thickTop="1" thickBot="1" x14ac:dyDescent="0.3">
      <c r="A42" s="17" t="s">
        <v>80</v>
      </c>
      <c r="B42" s="17" t="s">
        <v>31</v>
      </c>
      <c r="C42" s="18" t="s">
        <v>28</v>
      </c>
      <c r="D42" s="18">
        <f>SUMIFS(Tablo4[İzin Hakediş],Tablo4[Yaş Aralığı],Veri!C42,Tablo4[Kıdem Aralığı],Veri!B42)</f>
        <v>26</v>
      </c>
      <c r="E42" s="18">
        <f t="shared" si="0"/>
        <v>956</v>
      </c>
    </row>
    <row r="43" spans="1:5" ht="16.5" thickTop="1" thickBot="1" x14ac:dyDescent="0.3">
      <c r="A43" s="17" t="s">
        <v>81</v>
      </c>
      <c r="B43" s="17" t="s">
        <v>31</v>
      </c>
      <c r="C43" s="18" t="s">
        <v>28</v>
      </c>
      <c r="D43" s="18">
        <f>SUMIFS(Tablo4[İzin Hakediş],Tablo4[Yaş Aralığı],Veri!C43,Tablo4[Kıdem Aralığı],Veri!B43)</f>
        <v>26</v>
      </c>
      <c r="E43" s="18">
        <f t="shared" si="0"/>
        <v>982</v>
      </c>
    </row>
    <row r="44" spans="1:5" ht="16.5" thickTop="1" thickBot="1" x14ac:dyDescent="0.3">
      <c r="A44" s="17" t="s">
        <v>82</v>
      </c>
      <c r="B44" s="17" t="s">
        <v>31</v>
      </c>
      <c r="C44" s="18" t="s">
        <v>28</v>
      </c>
      <c r="D44" s="18">
        <f>SUMIFS(Tablo4[İzin Hakediş],Tablo4[Yaş Aralığı],Veri!C44,Tablo4[Kıdem Aralığı],Veri!B44)</f>
        <v>26</v>
      </c>
      <c r="E44" s="18">
        <f t="shared" si="0"/>
        <v>1008</v>
      </c>
    </row>
    <row r="45" spans="1:5" ht="16.5" thickTop="1" thickBot="1" x14ac:dyDescent="0.3">
      <c r="A45" s="17" t="s">
        <v>83</v>
      </c>
      <c r="B45" s="17" t="s">
        <v>31</v>
      </c>
      <c r="C45" s="18" t="s">
        <v>28</v>
      </c>
      <c r="D45" s="18">
        <f>SUMIFS(Tablo4[İzin Hakediş],Tablo4[Yaş Aralığı],Veri!C45,Tablo4[Kıdem Aralığı],Veri!B45)</f>
        <v>26</v>
      </c>
      <c r="E45" s="18">
        <f t="shared" si="0"/>
        <v>1034</v>
      </c>
    </row>
    <row r="46" spans="1:5" ht="16.5" thickTop="1" thickBot="1" x14ac:dyDescent="0.3">
      <c r="A46" s="17" t="s">
        <v>84</v>
      </c>
      <c r="B46" s="17" t="s">
        <v>31</v>
      </c>
      <c r="C46" s="18" t="s">
        <v>28</v>
      </c>
      <c r="D46" s="18">
        <f>SUMIFS(Tablo4[İzin Hakediş],Tablo4[Yaş Aralığı],Veri!C46,Tablo4[Kıdem Aralığı],Veri!B46)</f>
        <v>26</v>
      </c>
      <c r="E46" s="18">
        <f t="shared" si="0"/>
        <v>1060</v>
      </c>
    </row>
    <row r="47" spans="1:5" ht="16.5" thickTop="1" thickBot="1" x14ac:dyDescent="0.3">
      <c r="A47" s="17" t="s">
        <v>85</v>
      </c>
      <c r="B47" s="17" t="s">
        <v>31</v>
      </c>
      <c r="C47" s="18" t="s">
        <v>28</v>
      </c>
      <c r="D47" s="18">
        <f>SUMIFS(Tablo4[İzin Hakediş],Tablo4[Yaş Aralığı],Veri!C47,Tablo4[Kıdem Aralığı],Veri!B47)</f>
        <v>26</v>
      </c>
      <c r="E47" s="18">
        <f t="shared" si="0"/>
        <v>1086</v>
      </c>
    </row>
    <row r="48" spans="1:5" ht="16.5" thickTop="1" thickBot="1" x14ac:dyDescent="0.3">
      <c r="A48" s="17" t="s">
        <v>86</v>
      </c>
      <c r="B48" s="17" t="s">
        <v>31</v>
      </c>
      <c r="C48" s="18" t="s">
        <v>28</v>
      </c>
      <c r="D48" s="18">
        <f>SUMIFS(Tablo4[İzin Hakediş],Tablo4[Yaş Aralığı],Veri!C48,Tablo4[Kıdem Aralığı],Veri!B48)</f>
        <v>26</v>
      </c>
      <c r="E48" s="18">
        <f t="shared" si="0"/>
        <v>1112</v>
      </c>
    </row>
    <row r="49" spans="1:5" ht="16.5" thickTop="1" thickBot="1" x14ac:dyDescent="0.3">
      <c r="A49" s="17" t="s">
        <v>87</v>
      </c>
      <c r="B49" s="17" t="s">
        <v>31</v>
      </c>
      <c r="C49" s="18" t="s">
        <v>28</v>
      </c>
      <c r="D49" s="18">
        <f>SUMIFS(Tablo4[İzin Hakediş],Tablo4[Yaş Aralığı],Veri!C49,Tablo4[Kıdem Aralığı],Veri!B49)</f>
        <v>26</v>
      </c>
      <c r="E49" s="18">
        <f t="shared" si="0"/>
        <v>1138</v>
      </c>
    </row>
    <row r="50" spans="1:5" ht="16.5" thickTop="1" thickBot="1" x14ac:dyDescent="0.3">
      <c r="A50" s="17" t="s">
        <v>88</v>
      </c>
      <c r="B50" s="17" t="s">
        <v>31</v>
      </c>
      <c r="C50" s="18" t="s">
        <v>28</v>
      </c>
      <c r="D50" s="18">
        <f>SUMIFS(Tablo4[İzin Hakediş],Tablo4[Yaş Aralığı],Veri!C50,Tablo4[Kıdem Aralığı],Veri!B50)</f>
        <v>26</v>
      </c>
      <c r="E50" s="18">
        <f t="shared" si="0"/>
        <v>1164</v>
      </c>
    </row>
    <row r="51" spans="1:5" ht="16.5" thickTop="1" thickBot="1" x14ac:dyDescent="0.3">
      <c r="A51" s="17" t="s">
        <v>89</v>
      </c>
      <c r="B51" s="17" t="s">
        <v>31</v>
      </c>
      <c r="C51" s="18" t="s">
        <v>28</v>
      </c>
      <c r="D51" s="18">
        <f>SUMIFS(Tablo4[İzin Hakediş],Tablo4[Yaş Aralığı],Veri!C51,Tablo4[Kıdem Aralığı],Veri!B51)</f>
        <v>26</v>
      </c>
      <c r="E51" s="18">
        <f t="shared" si="0"/>
        <v>1190</v>
      </c>
    </row>
    <row r="52" spans="1:5" ht="16.5" thickTop="1" thickBot="1" x14ac:dyDescent="0.3">
      <c r="A52" s="17" t="s">
        <v>90</v>
      </c>
      <c r="B52" s="17" t="s">
        <v>31</v>
      </c>
      <c r="C52" s="18" t="s">
        <v>28</v>
      </c>
      <c r="D52" s="18">
        <f>SUMIFS(Tablo4[İzin Hakediş],Tablo4[Yaş Aralığı],Veri!C52,Tablo4[Kıdem Aralığı],Veri!B52)</f>
        <v>26</v>
      </c>
      <c r="E52" s="18">
        <f t="shared" si="0"/>
        <v>1216</v>
      </c>
    </row>
    <row r="53" spans="1:5" ht="16.5" thickTop="1" thickBot="1" x14ac:dyDescent="0.3">
      <c r="A53" s="17" t="s">
        <v>91</v>
      </c>
      <c r="B53" s="17" t="s">
        <v>31</v>
      </c>
      <c r="C53" s="18" t="s">
        <v>28</v>
      </c>
      <c r="D53" s="18">
        <f>SUMIFS(Tablo4[İzin Hakediş],Tablo4[Yaş Aralığı],Veri!C53,Tablo4[Kıdem Aralığı],Veri!B53)</f>
        <v>26</v>
      </c>
      <c r="E53" s="18">
        <f t="shared" si="0"/>
        <v>1242</v>
      </c>
    </row>
    <row r="54" spans="1:5" ht="16.5" thickTop="1" thickBot="1" x14ac:dyDescent="0.3">
      <c r="A54" s="17" t="s">
        <v>92</v>
      </c>
      <c r="B54" s="17" t="s">
        <v>31</v>
      </c>
      <c r="C54" s="18" t="s">
        <v>28</v>
      </c>
      <c r="D54" s="18">
        <f>SUMIFS(Tablo4[İzin Hakediş],Tablo4[Yaş Aralığı],Veri!C54,Tablo4[Kıdem Aralığı],Veri!B54)</f>
        <v>26</v>
      </c>
      <c r="E54" s="18">
        <f t="shared" si="0"/>
        <v>1268</v>
      </c>
    </row>
    <row r="55" spans="1:5" ht="16.5" thickTop="1" thickBot="1" x14ac:dyDescent="0.3">
      <c r="A55" s="17" t="s">
        <v>93</v>
      </c>
      <c r="B55" s="17" t="s">
        <v>31</v>
      </c>
      <c r="C55" s="18" t="s">
        <v>28</v>
      </c>
      <c r="D55" s="18">
        <f>SUMIFS(Tablo4[İzin Hakediş],Tablo4[Yaş Aralığı],Veri!C55,Tablo4[Kıdem Aralığı],Veri!B55)</f>
        <v>26</v>
      </c>
      <c r="E55" s="18">
        <f t="shared" si="0"/>
        <v>1294</v>
      </c>
    </row>
    <row r="56" spans="1:5" ht="16.5" thickTop="1" thickBot="1" x14ac:dyDescent="0.3">
      <c r="A56" s="17" t="s">
        <v>94</v>
      </c>
      <c r="B56" s="17" t="s">
        <v>31</v>
      </c>
      <c r="C56" s="18" t="s">
        <v>28</v>
      </c>
      <c r="D56" s="18">
        <f>SUMIFS(Tablo4[İzin Hakediş],Tablo4[Yaş Aralığı],Veri!C56,Tablo4[Kıdem Aralığı],Veri!B56)</f>
        <v>26</v>
      </c>
      <c r="E56" s="18">
        <f t="shared" si="0"/>
        <v>1320</v>
      </c>
    </row>
    <row r="57" spans="1:5" ht="16.5" thickTop="1" thickBot="1" x14ac:dyDescent="0.3">
      <c r="A57" s="17" t="s">
        <v>95</v>
      </c>
      <c r="B57" s="17" t="s">
        <v>31</v>
      </c>
      <c r="C57" s="18" t="s">
        <v>28</v>
      </c>
      <c r="D57" s="18">
        <f>SUMIFS(Tablo4[İzin Hakediş],Tablo4[Yaş Aralığı],Veri!C57,Tablo4[Kıdem Aralığı],Veri!B57)</f>
        <v>26</v>
      </c>
      <c r="E57" s="18">
        <f t="shared" si="0"/>
        <v>1346</v>
      </c>
    </row>
    <row r="58" spans="1:5" ht="16.5" thickTop="1" thickBot="1" x14ac:dyDescent="0.3">
      <c r="A58" s="17" t="s">
        <v>96</v>
      </c>
      <c r="B58" s="17" t="s">
        <v>31</v>
      </c>
      <c r="C58" s="18" t="s">
        <v>28</v>
      </c>
      <c r="D58" s="18">
        <f>SUMIFS(Tablo4[İzin Hakediş],Tablo4[Yaş Aralığı],Veri!C58,Tablo4[Kıdem Aralığı],Veri!B58)</f>
        <v>26</v>
      </c>
      <c r="E58" s="18">
        <f t="shared" si="0"/>
        <v>1372</v>
      </c>
    </row>
    <row r="59" spans="1:5" ht="16.5" thickTop="1" thickBot="1" x14ac:dyDescent="0.3">
      <c r="A59" s="17" t="s">
        <v>97</v>
      </c>
      <c r="B59" s="17" t="s">
        <v>31</v>
      </c>
      <c r="C59" s="18" t="s">
        <v>28</v>
      </c>
      <c r="D59" s="18">
        <f>SUMIFS(Tablo4[İzin Hakediş],Tablo4[Yaş Aralığı],Veri!C59,Tablo4[Kıdem Aralığı],Veri!B59)</f>
        <v>26</v>
      </c>
      <c r="E59" s="18">
        <f t="shared" si="0"/>
        <v>1398</v>
      </c>
    </row>
    <row r="60" spans="1:5" ht="16.5" thickTop="1" thickBot="1" x14ac:dyDescent="0.3">
      <c r="A60" s="17" t="s">
        <v>98</v>
      </c>
      <c r="B60" s="17" t="s">
        <v>31</v>
      </c>
      <c r="C60" s="18" t="s">
        <v>28</v>
      </c>
      <c r="D60" s="18">
        <f>SUMIFS(Tablo4[İzin Hakediş],Tablo4[Yaş Aralığı],Veri!C60,Tablo4[Kıdem Aralığı],Veri!B60)</f>
        <v>26</v>
      </c>
      <c r="E60" s="18">
        <f t="shared" si="0"/>
        <v>1424</v>
      </c>
    </row>
    <row r="61" spans="1:5" ht="16.5" thickTop="1" thickBot="1" x14ac:dyDescent="0.3">
      <c r="A61" s="17" t="s">
        <v>99</v>
      </c>
      <c r="B61" s="17" t="s">
        <v>31</v>
      </c>
      <c r="C61" s="18" t="s">
        <v>28</v>
      </c>
      <c r="D61" s="18">
        <f>SUMIFS(Tablo4[İzin Hakediş],Tablo4[Yaş Aralığı],Veri!C61,Tablo4[Kıdem Aralığı],Veri!B61)</f>
        <v>26</v>
      </c>
      <c r="E61" s="18">
        <f t="shared" si="0"/>
        <v>1450</v>
      </c>
    </row>
    <row r="62" spans="1:5" ht="16.5" thickTop="1" thickBot="1" x14ac:dyDescent="0.3">
      <c r="A62" s="17" t="s">
        <v>100</v>
      </c>
      <c r="B62" s="17" t="s">
        <v>31</v>
      </c>
      <c r="C62" s="18" t="s">
        <v>28</v>
      </c>
      <c r="D62" s="18">
        <f>SUMIFS(Tablo4[İzin Hakediş],Tablo4[Yaş Aralığı],Veri!C62,Tablo4[Kıdem Aralığı],Veri!B62)</f>
        <v>26</v>
      </c>
      <c r="E62" s="18">
        <f t="shared" si="0"/>
        <v>1476</v>
      </c>
    </row>
    <row r="63" spans="1:5" ht="16.5" thickTop="1" thickBot="1" x14ac:dyDescent="0.3">
      <c r="A63" s="17" t="s">
        <v>101</v>
      </c>
      <c r="B63" s="17" t="s">
        <v>31</v>
      </c>
      <c r="C63" s="18" t="s">
        <v>28</v>
      </c>
      <c r="D63" s="18">
        <f>SUMIFS(Tablo4[İzin Hakediş],Tablo4[Yaş Aralığı],Veri!C63,Tablo4[Kıdem Aralığı],Veri!B63)</f>
        <v>26</v>
      </c>
      <c r="E63" s="18">
        <f t="shared" si="0"/>
        <v>1502</v>
      </c>
    </row>
    <row r="64" spans="1:5" ht="16.5" thickTop="1" thickBot="1" x14ac:dyDescent="0.3">
      <c r="A64" s="17" t="s">
        <v>102</v>
      </c>
      <c r="B64" s="17" t="s">
        <v>31</v>
      </c>
      <c r="C64" s="18" t="s">
        <v>28</v>
      </c>
      <c r="D64" s="18">
        <f>SUMIFS(Tablo4[İzin Hakediş],Tablo4[Yaş Aralığı],Veri!C64,Tablo4[Kıdem Aralığı],Veri!B64)</f>
        <v>26</v>
      </c>
      <c r="E64" s="18">
        <f t="shared" si="0"/>
        <v>1528</v>
      </c>
    </row>
    <row r="65" spans="1:5" ht="16.5" thickTop="1" thickBot="1" x14ac:dyDescent="0.3">
      <c r="A65" s="17" t="s">
        <v>103</v>
      </c>
      <c r="B65" s="17" t="s">
        <v>31</v>
      </c>
      <c r="C65" s="18" t="s">
        <v>28</v>
      </c>
      <c r="D65" s="18">
        <f>SUMIFS(Tablo4[İzin Hakediş],Tablo4[Yaş Aralığı],Veri!C65,Tablo4[Kıdem Aralığı],Veri!B65)</f>
        <v>26</v>
      </c>
      <c r="E65" s="18">
        <f t="shared" si="0"/>
        <v>1554</v>
      </c>
    </row>
    <row r="66" spans="1:5" ht="16.5" thickTop="1" thickBot="1" x14ac:dyDescent="0.3">
      <c r="A66" s="17" t="s">
        <v>104</v>
      </c>
      <c r="B66" s="17" t="s">
        <v>31</v>
      </c>
      <c r="C66" s="18" t="s">
        <v>28</v>
      </c>
      <c r="D66" s="18">
        <f>SUMIFS(Tablo4[İzin Hakediş],Tablo4[Yaş Aralığı],Veri!C66,Tablo4[Kıdem Aralığı],Veri!B66)</f>
        <v>26</v>
      </c>
      <c r="E66" s="18">
        <f t="shared" si="0"/>
        <v>1580</v>
      </c>
    </row>
    <row r="67" spans="1:5" ht="16.5" thickTop="1" thickBot="1" x14ac:dyDescent="0.3">
      <c r="A67" s="17" t="s">
        <v>105</v>
      </c>
      <c r="B67" s="17" t="s">
        <v>31</v>
      </c>
      <c r="C67" s="18" t="s">
        <v>28</v>
      </c>
      <c r="D67" s="18">
        <f>SUMIFS(Tablo4[İzin Hakediş],Tablo4[Yaş Aralığı],Veri!C67,Tablo4[Kıdem Aralığı],Veri!B67)</f>
        <v>26</v>
      </c>
      <c r="E67" s="18">
        <f t="shared" si="0"/>
        <v>1606</v>
      </c>
    </row>
    <row r="68" spans="1:5" ht="16.5" thickTop="1" thickBot="1" x14ac:dyDescent="0.3">
      <c r="A68" s="17" t="s">
        <v>106</v>
      </c>
      <c r="B68" s="17" t="s">
        <v>31</v>
      </c>
      <c r="C68" s="18" t="s">
        <v>28</v>
      </c>
      <c r="D68" s="18">
        <f>SUMIFS(Tablo4[İzin Hakediş],Tablo4[Yaş Aralığı],Veri!C68,Tablo4[Kıdem Aralığı],Veri!B68)</f>
        <v>26</v>
      </c>
      <c r="E68" s="18">
        <f t="shared" si="0"/>
        <v>1632</v>
      </c>
    </row>
    <row r="69" spans="1:5" ht="16.5" thickTop="1" thickBot="1" x14ac:dyDescent="0.3">
      <c r="A69" s="17" t="s">
        <v>107</v>
      </c>
      <c r="B69" s="17" t="s">
        <v>31</v>
      </c>
      <c r="C69" s="18" t="s">
        <v>28</v>
      </c>
      <c r="D69" s="18">
        <f>SUMIFS(Tablo4[İzin Hakediş],Tablo4[Yaş Aralığı],Veri!C69,Tablo4[Kıdem Aralığı],Veri!B69)</f>
        <v>26</v>
      </c>
      <c r="E69" s="18">
        <f t="shared" ref="E69:E132" si="1">E68+D69</f>
        <v>1658</v>
      </c>
    </row>
    <row r="70" spans="1:5" ht="16.5" thickTop="1" thickBot="1" x14ac:dyDescent="0.3">
      <c r="A70" s="17" t="s">
        <v>108</v>
      </c>
      <c r="B70" s="17" t="s">
        <v>31</v>
      </c>
      <c r="C70" s="18" t="s">
        <v>28</v>
      </c>
      <c r="D70" s="18">
        <f>SUMIFS(Tablo4[İzin Hakediş],Tablo4[Yaş Aralığı],Veri!C70,Tablo4[Kıdem Aralığı],Veri!B70)</f>
        <v>26</v>
      </c>
      <c r="E70" s="18">
        <f t="shared" si="1"/>
        <v>1684</v>
      </c>
    </row>
    <row r="71" spans="1:5" ht="16.5" thickTop="1" thickBot="1" x14ac:dyDescent="0.3">
      <c r="A71" s="17" t="s">
        <v>109</v>
      </c>
      <c r="B71" s="17" t="s">
        <v>31</v>
      </c>
      <c r="C71" s="18" t="s">
        <v>28</v>
      </c>
      <c r="D71" s="18">
        <f>SUMIFS(Tablo4[İzin Hakediş],Tablo4[Yaş Aralığı],Veri!C71,Tablo4[Kıdem Aralığı],Veri!B71)</f>
        <v>26</v>
      </c>
      <c r="E71" s="18">
        <f t="shared" si="1"/>
        <v>1710</v>
      </c>
    </row>
    <row r="72" spans="1:5" ht="16.5" thickTop="1" thickBot="1" x14ac:dyDescent="0.3">
      <c r="A72" s="17" t="s">
        <v>110</v>
      </c>
      <c r="B72" s="17" t="s">
        <v>31</v>
      </c>
      <c r="C72" s="18" t="s">
        <v>28</v>
      </c>
      <c r="D72" s="18">
        <f>SUMIFS(Tablo4[İzin Hakediş],Tablo4[Yaş Aralığı],Veri!C72,Tablo4[Kıdem Aralığı],Veri!B72)</f>
        <v>26</v>
      </c>
      <c r="E72" s="18">
        <f t="shared" si="1"/>
        <v>1736</v>
      </c>
    </row>
    <row r="73" spans="1:5" ht="16.5" thickTop="1" thickBot="1" x14ac:dyDescent="0.3">
      <c r="A73" s="17" t="s">
        <v>111</v>
      </c>
      <c r="B73" s="17" t="s">
        <v>31</v>
      </c>
      <c r="C73" s="18" t="s">
        <v>28</v>
      </c>
      <c r="D73" s="18">
        <f>SUMIFS(Tablo4[İzin Hakediş],Tablo4[Yaş Aralığı],Veri!C73,Tablo4[Kıdem Aralığı],Veri!B73)</f>
        <v>26</v>
      </c>
      <c r="E73" s="18">
        <f t="shared" si="1"/>
        <v>1762</v>
      </c>
    </row>
    <row r="74" spans="1:5" ht="16.5" thickTop="1" thickBot="1" x14ac:dyDescent="0.3">
      <c r="A74" s="17" t="s">
        <v>112</v>
      </c>
      <c r="B74" s="17" t="s">
        <v>31</v>
      </c>
      <c r="C74" s="18" t="s">
        <v>28</v>
      </c>
      <c r="D74" s="18">
        <f>SUMIFS(Tablo4[İzin Hakediş],Tablo4[Yaş Aralığı],Veri!C74,Tablo4[Kıdem Aralığı],Veri!B74)</f>
        <v>26</v>
      </c>
      <c r="E74" s="18">
        <f t="shared" si="1"/>
        <v>1788</v>
      </c>
    </row>
    <row r="75" spans="1:5" ht="16.5" thickTop="1" thickBot="1" x14ac:dyDescent="0.3">
      <c r="A75" s="17" t="s">
        <v>113</v>
      </c>
      <c r="B75" s="17" t="s">
        <v>31</v>
      </c>
      <c r="C75" s="18" t="s">
        <v>28</v>
      </c>
      <c r="D75" s="18">
        <f>SUMIFS(Tablo4[İzin Hakediş],Tablo4[Yaş Aralığı],Veri!C75,Tablo4[Kıdem Aralığı],Veri!B75)</f>
        <v>26</v>
      </c>
      <c r="E75" s="18">
        <f t="shared" si="1"/>
        <v>1814</v>
      </c>
    </row>
    <row r="76" spans="1:5" ht="16.5" thickTop="1" thickBot="1" x14ac:dyDescent="0.3">
      <c r="A76" s="17" t="s">
        <v>114</v>
      </c>
      <c r="B76" s="17" t="s">
        <v>31</v>
      </c>
      <c r="C76" s="18" t="s">
        <v>28</v>
      </c>
      <c r="D76" s="18">
        <f>SUMIFS(Tablo4[İzin Hakediş],Tablo4[Yaş Aralığı],Veri!C76,Tablo4[Kıdem Aralığı],Veri!B76)</f>
        <v>26</v>
      </c>
      <c r="E76" s="18">
        <f t="shared" si="1"/>
        <v>1840</v>
      </c>
    </row>
    <row r="77" spans="1:5" ht="16.5" thickTop="1" thickBot="1" x14ac:dyDescent="0.3">
      <c r="A77" s="17" t="s">
        <v>115</v>
      </c>
      <c r="B77" s="17" t="s">
        <v>31</v>
      </c>
      <c r="C77" s="18" t="s">
        <v>28</v>
      </c>
      <c r="D77" s="18">
        <f>SUMIFS(Tablo4[İzin Hakediş],Tablo4[Yaş Aralığı],Veri!C77,Tablo4[Kıdem Aralığı],Veri!B77)</f>
        <v>26</v>
      </c>
      <c r="E77" s="18">
        <f t="shared" si="1"/>
        <v>1866</v>
      </c>
    </row>
    <row r="78" spans="1:5" ht="16.5" thickTop="1" thickBot="1" x14ac:dyDescent="0.3">
      <c r="A78" s="17" t="s">
        <v>116</v>
      </c>
      <c r="B78" s="17" t="s">
        <v>31</v>
      </c>
      <c r="C78" s="18" t="s">
        <v>28</v>
      </c>
      <c r="D78" s="18">
        <f>SUMIFS(Tablo4[İzin Hakediş],Tablo4[Yaş Aralığı],Veri!C78,Tablo4[Kıdem Aralığı],Veri!B78)</f>
        <v>26</v>
      </c>
      <c r="E78" s="18">
        <f t="shared" si="1"/>
        <v>1892</v>
      </c>
    </row>
    <row r="79" spans="1:5" ht="16.5" thickTop="1" thickBot="1" x14ac:dyDescent="0.3">
      <c r="A79" s="17" t="s">
        <v>117</v>
      </c>
      <c r="B79" s="17" t="s">
        <v>31</v>
      </c>
      <c r="C79" s="18" t="s">
        <v>28</v>
      </c>
      <c r="D79" s="18">
        <f>SUMIFS(Tablo4[İzin Hakediş],Tablo4[Yaş Aralığı],Veri!C79,Tablo4[Kıdem Aralığı],Veri!B79)</f>
        <v>26</v>
      </c>
      <c r="E79" s="18">
        <f t="shared" si="1"/>
        <v>1918</v>
      </c>
    </row>
    <row r="80" spans="1:5" ht="16.5" thickTop="1" thickBot="1" x14ac:dyDescent="0.3">
      <c r="A80" s="17" t="s">
        <v>118</v>
      </c>
      <c r="B80" s="17" t="s">
        <v>31</v>
      </c>
      <c r="C80" s="18" t="s">
        <v>28</v>
      </c>
      <c r="D80" s="18">
        <f>SUMIFS(Tablo4[İzin Hakediş],Tablo4[Yaş Aralığı],Veri!C80,Tablo4[Kıdem Aralığı],Veri!B80)</f>
        <v>26</v>
      </c>
      <c r="E80" s="18">
        <f t="shared" si="1"/>
        <v>1944</v>
      </c>
    </row>
    <row r="81" spans="1:5" ht="16.5" thickTop="1" thickBot="1" x14ac:dyDescent="0.3">
      <c r="A81" s="17" t="s">
        <v>119</v>
      </c>
      <c r="B81" s="17" t="s">
        <v>31</v>
      </c>
      <c r="C81" s="18" t="s">
        <v>28</v>
      </c>
      <c r="D81" s="18">
        <f>SUMIFS(Tablo4[İzin Hakediş],Tablo4[Yaş Aralığı],Veri!C81,Tablo4[Kıdem Aralığı],Veri!B81)</f>
        <v>26</v>
      </c>
      <c r="E81" s="18">
        <f t="shared" si="1"/>
        <v>1970</v>
      </c>
    </row>
    <row r="82" spans="1:5" ht="16.5" thickTop="1" thickBot="1" x14ac:dyDescent="0.3">
      <c r="A82" s="17" t="s">
        <v>120</v>
      </c>
      <c r="B82" s="17" t="s">
        <v>31</v>
      </c>
      <c r="C82" s="18" t="s">
        <v>28</v>
      </c>
      <c r="D82" s="18">
        <f>SUMIFS(Tablo4[İzin Hakediş],Tablo4[Yaş Aralığı],Veri!C82,Tablo4[Kıdem Aralığı],Veri!B82)</f>
        <v>26</v>
      </c>
      <c r="E82" s="18">
        <f t="shared" si="1"/>
        <v>1996</v>
      </c>
    </row>
    <row r="83" spans="1:5" ht="16.5" thickTop="1" thickBot="1" x14ac:dyDescent="0.3">
      <c r="A83" s="17" t="s">
        <v>121</v>
      </c>
      <c r="B83" s="17" t="s">
        <v>31</v>
      </c>
      <c r="C83" s="18" t="s">
        <v>28</v>
      </c>
      <c r="D83" s="18">
        <f>SUMIFS(Tablo4[İzin Hakediş],Tablo4[Yaş Aralığı],Veri!C83,Tablo4[Kıdem Aralığı],Veri!B83)</f>
        <v>26</v>
      </c>
      <c r="E83" s="18">
        <f t="shared" si="1"/>
        <v>2022</v>
      </c>
    </row>
    <row r="84" spans="1:5" ht="16.5" thickTop="1" thickBot="1" x14ac:dyDescent="0.3">
      <c r="A84" s="17" t="s">
        <v>122</v>
      </c>
      <c r="B84" s="17" t="s">
        <v>31</v>
      </c>
      <c r="C84" s="18" t="s">
        <v>28</v>
      </c>
      <c r="D84" s="18">
        <f>SUMIFS(Tablo4[İzin Hakediş],Tablo4[Yaş Aralığı],Veri!C84,Tablo4[Kıdem Aralığı],Veri!B84)</f>
        <v>26</v>
      </c>
      <c r="E84" s="18">
        <f t="shared" si="1"/>
        <v>2048</v>
      </c>
    </row>
    <row r="85" spans="1:5" ht="16.5" thickTop="1" thickBot="1" x14ac:dyDescent="0.3">
      <c r="A85" s="17" t="s">
        <v>123</v>
      </c>
      <c r="B85" s="17" t="s">
        <v>31</v>
      </c>
      <c r="C85" s="18" t="s">
        <v>28</v>
      </c>
      <c r="D85" s="18">
        <f>SUMIFS(Tablo4[İzin Hakediş],Tablo4[Yaş Aralığı],Veri!C85,Tablo4[Kıdem Aralığı],Veri!B85)</f>
        <v>26</v>
      </c>
      <c r="E85" s="18">
        <f t="shared" si="1"/>
        <v>2074</v>
      </c>
    </row>
    <row r="86" spans="1:5" ht="16.5" thickTop="1" thickBot="1" x14ac:dyDescent="0.3">
      <c r="A86" s="17" t="s">
        <v>124</v>
      </c>
      <c r="B86" s="17" t="s">
        <v>31</v>
      </c>
      <c r="C86" s="18" t="s">
        <v>28</v>
      </c>
      <c r="D86" s="18">
        <f>SUMIFS(Tablo4[İzin Hakediş],Tablo4[Yaş Aralığı],Veri!C86,Tablo4[Kıdem Aralığı],Veri!B86)</f>
        <v>26</v>
      </c>
      <c r="E86" s="18">
        <f t="shared" si="1"/>
        <v>2100</v>
      </c>
    </row>
    <row r="87" spans="1:5" ht="16.5" thickTop="1" thickBot="1" x14ac:dyDescent="0.3">
      <c r="A87" s="17" t="s">
        <v>125</v>
      </c>
      <c r="B87" s="17" t="s">
        <v>31</v>
      </c>
      <c r="C87" s="18" t="s">
        <v>28</v>
      </c>
      <c r="D87" s="18">
        <f>SUMIFS(Tablo4[İzin Hakediş],Tablo4[Yaş Aralığı],Veri!C87,Tablo4[Kıdem Aralığı],Veri!B87)</f>
        <v>26</v>
      </c>
      <c r="E87" s="18">
        <f t="shared" si="1"/>
        <v>2126</v>
      </c>
    </row>
    <row r="88" spans="1:5" ht="16.5" thickTop="1" thickBot="1" x14ac:dyDescent="0.3">
      <c r="A88" s="17" t="s">
        <v>126</v>
      </c>
      <c r="B88" s="17" t="s">
        <v>31</v>
      </c>
      <c r="C88" s="18" t="s">
        <v>28</v>
      </c>
      <c r="D88" s="18">
        <f>SUMIFS(Tablo4[İzin Hakediş],Tablo4[Yaş Aralığı],Veri!C88,Tablo4[Kıdem Aralığı],Veri!B88)</f>
        <v>26</v>
      </c>
      <c r="E88" s="18">
        <f t="shared" si="1"/>
        <v>2152</v>
      </c>
    </row>
    <row r="89" spans="1:5" ht="16.5" thickTop="1" thickBot="1" x14ac:dyDescent="0.3">
      <c r="A89" s="17" t="s">
        <v>127</v>
      </c>
      <c r="B89" s="17" t="s">
        <v>31</v>
      </c>
      <c r="C89" s="18" t="s">
        <v>28</v>
      </c>
      <c r="D89" s="18">
        <f>SUMIFS(Tablo4[İzin Hakediş],Tablo4[Yaş Aralığı],Veri!C89,Tablo4[Kıdem Aralığı],Veri!B89)</f>
        <v>26</v>
      </c>
      <c r="E89" s="18">
        <f t="shared" si="1"/>
        <v>2178</v>
      </c>
    </row>
    <row r="90" spans="1:5" ht="16.5" thickTop="1" thickBot="1" x14ac:dyDescent="0.3">
      <c r="A90" s="17" t="s">
        <v>128</v>
      </c>
      <c r="B90" s="17" t="s">
        <v>31</v>
      </c>
      <c r="C90" s="18" t="s">
        <v>28</v>
      </c>
      <c r="D90" s="18">
        <f>SUMIFS(Tablo4[İzin Hakediş],Tablo4[Yaş Aralığı],Veri!C90,Tablo4[Kıdem Aralığı],Veri!B90)</f>
        <v>26</v>
      </c>
      <c r="E90" s="18">
        <f t="shared" si="1"/>
        <v>2204</v>
      </c>
    </row>
    <row r="91" spans="1:5" ht="16.5" thickTop="1" thickBot="1" x14ac:dyDescent="0.3">
      <c r="A91" s="17" t="s">
        <v>129</v>
      </c>
      <c r="B91" s="17" t="s">
        <v>31</v>
      </c>
      <c r="C91" s="18" t="s">
        <v>28</v>
      </c>
      <c r="D91" s="18">
        <f>SUMIFS(Tablo4[İzin Hakediş],Tablo4[Yaş Aralığı],Veri!C91,Tablo4[Kıdem Aralığı],Veri!B91)</f>
        <v>26</v>
      </c>
      <c r="E91" s="18">
        <f t="shared" si="1"/>
        <v>2230</v>
      </c>
    </row>
    <row r="92" spans="1:5" ht="16.5" thickTop="1" thickBot="1" x14ac:dyDescent="0.3">
      <c r="A92" s="17" t="s">
        <v>130</v>
      </c>
      <c r="B92" s="17" t="s">
        <v>31</v>
      </c>
      <c r="C92" s="18" t="s">
        <v>28</v>
      </c>
      <c r="D92" s="18">
        <f>SUMIFS(Tablo4[İzin Hakediş],Tablo4[Yaş Aralığı],Veri!C92,Tablo4[Kıdem Aralığı],Veri!B92)</f>
        <v>26</v>
      </c>
      <c r="E92" s="18">
        <f t="shared" si="1"/>
        <v>2256</v>
      </c>
    </row>
    <row r="93" spans="1:5" ht="16.5" thickTop="1" thickBot="1" x14ac:dyDescent="0.3">
      <c r="A93" s="17" t="s">
        <v>131</v>
      </c>
      <c r="B93" s="17" t="s">
        <v>31</v>
      </c>
      <c r="C93" s="18" t="s">
        <v>28</v>
      </c>
      <c r="D93" s="18">
        <f>SUMIFS(Tablo4[İzin Hakediş],Tablo4[Yaş Aralığı],Veri!C93,Tablo4[Kıdem Aralığı],Veri!B93)</f>
        <v>26</v>
      </c>
      <c r="E93" s="18">
        <f t="shared" si="1"/>
        <v>2282</v>
      </c>
    </row>
    <row r="94" spans="1:5" ht="16.5" thickTop="1" thickBot="1" x14ac:dyDescent="0.3">
      <c r="A94" s="17" t="s">
        <v>132</v>
      </c>
      <c r="B94" s="17" t="s">
        <v>31</v>
      </c>
      <c r="C94" s="18" t="s">
        <v>28</v>
      </c>
      <c r="D94" s="18">
        <f>SUMIFS(Tablo4[İzin Hakediş],Tablo4[Yaş Aralığı],Veri!C94,Tablo4[Kıdem Aralığı],Veri!B94)</f>
        <v>26</v>
      </c>
      <c r="E94" s="18">
        <f t="shared" si="1"/>
        <v>2308</v>
      </c>
    </row>
    <row r="95" spans="1:5" ht="16.5" thickTop="1" thickBot="1" x14ac:dyDescent="0.3">
      <c r="A95" s="17" t="s">
        <v>133</v>
      </c>
      <c r="B95" s="17" t="s">
        <v>31</v>
      </c>
      <c r="C95" s="18" t="s">
        <v>28</v>
      </c>
      <c r="D95" s="18">
        <f>SUMIFS(Tablo4[İzin Hakediş],Tablo4[Yaş Aralığı],Veri!C95,Tablo4[Kıdem Aralığı],Veri!B95)</f>
        <v>26</v>
      </c>
      <c r="E95" s="18">
        <f t="shared" si="1"/>
        <v>2334</v>
      </c>
    </row>
    <row r="96" spans="1:5" ht="16.5" thickTop="1" thickBot="1" x14ac:dyDescent="0.3">
      <c r="A96" s="17" t="s">
        <v>134</v>
      </c>
      <c r="B96" s="17" t="s">
        <v>31</v>
      </c>
      <c r="C96" s="18" t="s">
        <v>28</v>
      </c>
      <c r="D96" s="18">
        <f>SUMIFS(Tablo4[İzin Hakediş],Tablo4[Yaş Aralığı],Veri!C96,Tablo4[Kıdem Aralığı],Veri!B96)</f>
        <v>26</v>
      </c>
      <c r="E96" s="18">
        <f t="shared" si="1"/>
        <v>2360</v>
      </c>
    </row>
    <row r="97" spans="1:5" ht="16.5" thickTop="1" thickBot="1" x14ac:dyDescent="0.3">
      <c r="A97" s="17" t="s">
        <v>135</v>
      </c>
      <c r="B97" s="17" t="s">
        <v>31</v>
      </c>
      <c r="C97" s="18" t="s">
        <v>28</v>
      </c>
      <c r="D97" s="18">
        <f>SUMIFS(Tablo4[İzin Hakediş],Tablo4[Yaş Aralığı],Veri!C97,Tablo4[Kıdem Aralığı],Veri!B97)</f>
        <v>26</v>
      </c>
      <c r="E97" s="18">
        <f t="shared" si="1"/>
        <v>2386</v>
      </c>
    </row>
    <row r="98" spans="1:5" ht="16.5" thickTop="1" thickBot="1" x14ac:dyDescent="0.3">
      <c r="A98" s="17" t="s">
        <v>136</v>
      </c>
      <c r="B98" s="17" t="s">
        <v>31</v>
      </c>
      <c r="C98" s="18" t="s">
        <v>28</v>
      </c>
      <c r="D98" s="18">
        <f>SUMIFS(Tablo4[İzin Hakediş],Tablo4[Yaş Aralığı],Veri!C98,Tablo4[Kıdem Aralığı],Veri!B98)</f>
        <v>26</v>
      </c>
      <c r="E98" s="18">
        <f t="shared" si="1"/>
        <v>2412</v>
      </c>
    </row>
    <row r="99" spans="1:5" ht="16.5" thickTop="1" thickBot="1" x14ac:dyDescent="0.3">
      <c r="A99" s="17" t="s">
        <v>137</v>
      </c>
      <c r="B99" s="17" t="s">
        <v>31</v>
      </c>
      <c r="C99" s="18" t="s">
        <v>28</v>
      </c>
      <c r="D99" s="18">
        <f>SUMIFS(Tablo4[İzin Hakediş],Tablo4[Yaş Aralığı],Veri!C99,Tablo4[Kıdem Aralığı],Veri!B99)</f>
        <v>26</v>
      </c>
      <c r="E99" s="18">
        <f t="shared" si="1"/>
        <v>2438</v>
      </c>
    </row>
    <row r="100" spans="1:5" ht="16.5" thickTop="1" thickBot="1" x14ac:dyDescent="0.3">
      <c r="A100" s="17" t="s">
        <v>138</v>
      </c>
      <c r="B100" s="17" t="s">
        <v>31</v>
      </c>
      <c r="C100" s="18" t="s">
        <v>28</v>
      </c>
      <c r="D100" s="18">
        <f>SUMIFS(Tablo4[İzin Hakediş],Tablo4[Yaş Aralığı],Veri!C100,Tablo4[Kıdem Aralığı],Veri!B100)</f>
        <v>26</v>
      </c>
      <c r="E100" s="18">
        <f t="shared" si="1"/>
        <v>2464</v>
      </c>
    </row>
    <row r="101" spans="1:5" ht="16.5" thickTop="1" thickBot="1" x14ac:dyDescent="0.3">
      <c r="A101" s="17" t="s">
        <v>139</v>
      </c>
      <c r="B101" s="17" t="s">
        <v>31</v>
      </c>
      <c r="C101" s="18" t="s">
        <v>28</v>
      </c>
      <c r="D101" s="18">
        <f>SUMIFS(Tablo4[İzin Hakediş],Tablo4[Yaş Aralığı],Veri!C101,Tablo4[Kıdem Aralığı],Veri!B101)</f>
        <v>26</v>
      </c>
      <c r="E101" s="18">
        <f t="shared" si="1"/>
        <v>2490</v>
      </c>
    </row>
    <row r="102" spans="1:5" ht="16.5" thickTop="1" thickBot="1" x14ac:dyDescent="0.3">
      <c r="A102" s="22" t="s">
        <v>40</v>
      </c>
      <c r="B102" s="22">
        <v>0</v>
      </c>
      <c r="C102" s="23" t="s">
        <v>32</v>
      </c>
      <c r="D102" s="23">
        <f>SUMIFS(Tablo4[İzin Hakediş],Tablo4[Yaş Aralığı],Veri!C102,Tablo4[Kıdem Aralığı],Veri!B102)</f>
        <v>0</v>
      </c>
      <c r="E102" s="23">
        <v>0</v>
      </c>
    </row>
    <row r="103" spans="1:5" ht="16.5" thickTop="1" thickBot="1" x14ac:dyDescent="0.3">
      <c r="A103" s="17" t="s">
        <v>41</v>
      </c>
      <c r="B103" s="17" t="s">
        <v>29</v>
      </c>
      <c r="C103" s="18" t="s">
        <v>32</v>
      </c>
      <c r="D103" s="18">
        <f>SUMIFS(Tablo4[İzin Hakediş],Tablo4[Yaş Aralığı],Veri!C103,Tablo4[Kıdem Aralığı],Veri!B103)</f>
        <v>14</v>
      </c>
      <c r="E103" s="18">
        <f t="shared" si="1"/>
        <v>14</v>
      </c>
    </row>
    <row r="104" spans="1:5" ht="16.5" thickTop="1" thickBot="1" x14ac:dyDescent="0.3">
      <c r="A104" s="17" t="s">
        <v>42</v>
      </c>
      <c r="B104" s="17" t="s">
        <v>29</v>
      </c>
      <c r="C104" s="18" t="s">
        <v>32</v>
      </c>
      <c r="D104" s="18">
        <f>SUMIFS(Tablo4[İzin Hakediş],Tablo4[Yaş Aralığı],Veri!C104,Tablo4[Kıdem Aralığı],Veri!B104)</f>
        <v>14</v>
      </c>
      <c r="E104" s="18">
        <f t="shared" si="1"/>
        <v>28</v>
      </c>
    </row>
    <row r="105" spans="1:5" ht="16.5" thickTop="1" thickBot="1" x14ac:dyDescent="0.3">
      <c r="A105" s="17" t="s">
        <v>43</v>
      </c>
      <c r="B105" s="17" t="s">
        <v>29</v>
      </c>
      <c r="C105" s="18" t="s">
        <v>32</v>
      </c>
      <c r="D105" s="18">
        <f>SUMIFS(Tablo4[İzin Hakediş],Tablo4[Yaş Aralığı],Veri!C105,Tablo4[Kıdem Aralığı],Veri!B105)</f>
        <v>14</v>
      </c>
      <c r="E105" s="18">
        <f t="shared" si="1"/>
        <v>42</v>
      </c>
    </row>
    <row r="106" spans="1:5" ht="16.5" thickTop="1" thickBot="1" x14ac:dyDescent="0.3">
      <c r="A106" s="17" t="s">
        <v>44</v>
      </c>
      <c r="B106" s="17" t="s">
        <v>29</v>
      </c>
      <c r="C106" s="18" t="s">
        <v>32</v>
      </c>
      <c r="D106" s="18">
        <f>SUMIFS(Tablo4[İzin Hakediş],Tablo4[Yaş Aralığı],Veri!C106,Tablo4[Kıdem Aralığı],Veri!B106)</f>
        <v>14</v>
      </c>
      <c r="E106" s="18">
        <f t="shared" si="1"/>
        <v>56</v>
      </c>
    </row>
    <row r="107" spans="1:5" ht="16.5" thickTop="1" thickBot="1" x14ac:dyDescent="0.3">
      <c r="A107" s="17" t="s">
        <v>45</v>
      </c>
      <c r="B107" s="17" t="s">
        <v>29</v>
      </c>
      <c r="C107" s="18" t="s">
        <v>32</v>
      </c>
      <c r="D107" s="18">
        <f>SUMIFS(Tablo4[İzin Hakediş],Tablo4[Yaş Aralığı],Veri!C107,Tablo4[Kıdem Aralığı],Veri!B107)</f>
        <v>14</v>
      </c>
      <c r="E107" s="18">
        <f t="shared" si="1"/>
        <v>70</v>
      </c>
    </row>
    <row r="108" spans="1:5" ht="16.5" thickTop="1" thickBot="1" x14ac:dyDescent="0.3">
      <c r="A108" s="17" t="s">
        <v>46</v>
      </c>
      <c r="B108" s="17" t="s">
        <v>30</v>
      </c>
      <c r="C108" s="18" t="s">
        <v>32</v>
      </c>
      <c r="D108" s="18">
        <f>SUMIFS(Tablo4[İzin Hakediş],Tablo4[Yaş Aralığı],Veri!C108,Tablo4[Kıdem Aralığı],Veri!B108)</f>
        <v>20</v>
      </c>
      <c r="E108" s="18">
        <f t="shared" si="1"/>
        <v>90</v>
      </c>
    </row>
    <row r="109" spans="1:5" ht="16.5" thickTop="1" thickBot="1" x14ac:dyDescent="0.3">
      <c r="A109" s="17" t="s">
        <v>47</v>
      </c>
      <c r="B109" s="17" t="s">
        <v>30</v>
      </c>
      <c r="C109" s="18" t="s">
        <v>32</v>
      </c>
      <c r="D109" s="18">
        <f>SUMIFS(Tablo4[İzin Hakediş],Tablo4[Yaş Aralığı],Veri!C109,Tablo4[Kıdem Aralığı],Veri!B109)</f>
        <v>20</v>
      </c>
      <c r="E109" s="18">
        <f t="shared" si="1"/>
        <v>110</v>
      </c>
    </row>
    <row r="110" spans="1:5" ht="16.5" thickTop="1" thickBot="1" x14ac:dyDescent="0.3">
      <c r="A110" s="17" t="s">
        <v>48</v>
      </c>
      <c r="B110" s="17" t="s">
        <v>30</v>
      </c>
      <c r="C110" s="18" t="s">
        <v>32</v>
      </c>
      <c r="D110" s="18">
        <f>SUMIFS(Tablo4[İzin Hakediş],Tablo4[Yaş Aralığı],Veri!C110,Tablo4[Kıdem Aralığı],Veri!B110)</f>
        <v>20</v>
      </c>
      <c r="E110" s="18">
        <f t="shared" si="1"/>
        <v>130</v>
      </c>
    </row>
    <row r="111" spans="1:5" ht="16.5" thickTop="1" thickBot="1" x14ac:dyDescent="0.3">
      <c r="A111" s="17" t="s">
        <v>49</v>
      </c>
      <c r="B111" s="17" t="s">
        <v>30</v>
      </c>
      <c r="C111" s="18" t="s">
        <v>32</v>
      </c>
      <c r="D111" s="18">
        <f>SUMIFS(Tablo4[İzin Hakediş],Tablo4[Yaş Aralığı],Veri!C111,Tablo4[Kıdem Aralığı],Veri!B111)</f>
        <v>20</v>
      </c>
      <c r="E111" s="18">
        <f t="shared" si="1"/>
        <v>150</v>
      </c>
    </row>
    <row r="112" spans="1:5" ht="16.5" thickTop="1" thickBot="1" x14ac:dyDescent="0.3">
      <c r="A112" s="17" t="s">
        <v>50</v>
      </c>
      <c r="B112" s="17" t="s">
        <v>30</v>
      </c>
      <c r="C112" s="18" t="s">
        <v>32</v>
      </c>
      <c r="D112" s="18">
        <f>SUMIFS(Tablo4[İzin Hakediş],Tablo4[Yaş Aralığı],Veri!C112,Tablo4[Kıdem Aralığı],Veri!B112)</f>
        <v>20</v>
      </c>
      <c r="E112" s="18">
        <f t="shared" si="1"/>
        <v>170</v>
      </c>
    </row>
    <row r="113" spans="1:5" ht="16.5" thickTop="1" thickBot="1" x14ac:dyDescent="0.3">
      <c r="A113" s="17" t="s">
        <v>51</v>
      </c>
      <c r="B113" s="17" t="s">
        <v>30</v>
      </c>
      <c r="C113" s="18" t="s">
        <v>32</v>
      </c>
      <c r="D113" s="18">
        <f>SUMIFS(Tablo4[İzin Hakediş],Tablo4[Yaş Aralığı],Veri!C113,Tablo4[Kıdem Aralığı],Veri!B113)</f>
        <v>20</v>
      </c>
      <c r="E113" s="18">
        <f t="shared" si="1"/>
        <v>190</v>
      </c>
    </row>
    <row r="114" spans="1:5" ht="16.5" thickTop="1" thickBot="1" x14ac:dyDescent="0.3">
      <c r="A114" s="17" t="s">
        <v>52</v>
      </c>
      <c r="B114" s="17" t="s">
        <v>30</v>
      </c>
      <c r="C114" s="18" t="s">
        <v>32</v>
      </c>
      <c r="D114" s="18">
        <f>SUMIFS(Tablo4[İzin Hakediş],Tablo4[Yaş Aralığı],Veri!C114,Tablo4[Kıdem Aralığı],Veri!B114)</f>
        <v>20</v>
      </c>
      <c r="E114" s="18">
        <f t="shared" si="1"/>
        <v>210</v>
      </c>
    </row>
    <row r="115" spans="1:5" ht="16.5" thickTop="1" thickBot="1" x14ac:dyDescent="0.3">
      <c r="A115" s="17" t="s">
        <v>53</v>
      </c>
      <c r="B115" s="17" t="s">
        <v>30</v>
      </c>
      <c r="C115" s="18" t="s">
        <v>32</v>
      </c>
      <c r="D115" s="18">
        <f>SUMIFS(Tablo4[İzin Hakediş],Tablo4[Yaş Aralığı],Veri!C115,Tablo4[Kıdem Aralığı],Veri!B115)</f>
        <v>20</v>
      </c>
      <c r="E115" s="18">
        <f t="shared" si="1"/>
        <v>230</v>
      </c>
    </row>
    <row r="116" spans="1:5" ht="16.5" thickTop="1" thickBot="1" x14ac:dyDescent="0.3">
      <c r="A116" s="17" t="s">
        <v>54</v>
      </c>
      <c r="B116" s="17" t="s">
        <v>30</v>
      </c>
      <c r="C116" s="18" t="s">
        <v>32</v>
      </c>
      <c r="D116" s="18">
        <f>SUMIFS(Tablo4[İzin Hakediş],Tablo4[Yaş Aralığı],Veri!C116,Tablo4[Kıdem Aralığı],Veri!B116)</f>
        <v>20</v>
      </c>
      <c r="E116" s="18">
        <f t="shared" si="1"/>
        <v>250</v>
      </c>
    </row>
    <row r="117" spans="1:5" ht="16.5" thickTop="1" thickBot="1" x14ac:dyDescent="0.3">
      <c r="A117" s="17" t="s">
        <v>55</v>
      </c>
      <c r="B117" s="17" t="s">
        <v>31</v>
      </c>
      <c r="C117" s="18" t="s">
        <v>32</v>
      </c>
      <c r="D117" s="18">
        <f>SUMIFS(Tablo4[İzin Hakediş],Tablo4[Yaş Aralığı],Veri!C117,Tablo4[Kıdem Aralığı],Veri!B117)</f>
        <v>26</v>
      </c>
      <c r="E117" s="18">
        <f t="shared" si="1"/>
        <v>276</v>
      </c>
    </row>
    <row r="118" spans="1:5" ht="16.5" thickTop="1" thickBot="1" x14ac:dyDescent="0.3">
      <c r="A118" s="17" t="s">
        <v>56</v>
      </c>
      <c r="B118" s="17" t="s">
        <v>31</v>
      </c>
      <c r="C118" s="18" t="s">
        <v>32</v>
      </c>
      <c r="D118" s="18">
        <f>SUMIFS(Tablo4[İzin Hakediş],Tablo4[Yaş Aralığı],Veri!C118,Tablo4[Kıdem Aralığı],Veri!B118)</f>
        <v>26</v>
      </c>
      <c r="E118" s="18">
        <f t="shared" si="1"/>
        <v>302</v>
      </c>
    </row>
    <row r="119" spans="1:5" ht="16.5" thickTop="1" thickBot="1" x14ac:dyDescent="0.3">
      <c r="A119" s="17" t="s">
        <v>57</v>
      </c>
      <c r="B119" s="17" t="s">
        <v>31</v>
      </c>
      <c r="C119" s="18" t="s">
        <v>32</v>
      </c>
      <c r="D119" s="18">
        <f>SUMIFS(Tablo4[İzin Hakediş],Tablo4[Yaş Aralığı],Veri!C119,Tablo4[Kıdem Aralığı],Veri!B119)</f>
        <v>26</v>
      </c>
      <c r="E119" s="18">
        <f t="shared" si="1"/>
        <v>328</v>
      </c>
    </row>
    <row r="120" spans="1:5" ht="16.5" thickTop="1" thickBot="1" x14ac:dyDescent="0.3">
      <c r="A120" s="17" t="s">
        <v>58</v>
      </c>
      <c r="B120" s="17" t="s">
        <v>31</v>
      </c>
      <c r="C120" s="18" t="s">
        <v>32</v>
      </c>
      <c r="D120" s="18">
        <f>SUMIFS(Tablo4[İzin Hakediş],Tablo4[Yaş Aralığı],Veri!C120,Tablo4[Kıdem Aralığı],Veri!B120)</f>
        <v>26</v>
      </c>
      <c r="E120" s="18">
        <f t="shared" si="1"/>
        <v>354</v>
      </c>
    </row>
    <row r="121" spans="1:5" ht="16.5" thickTop="1" thickBot="1" x14ac:dyDescent="0.3">
      <c r="A121" s="17" t="s">
        <v>59</v>
      </c>
      <c r="B121" s="17" t="s">
        <v>31</v>
      </c>
      <c r="C121" s="18" t="s">
        <v>32</v>
      </c>
      <c r="D121" s="18">
        <f>SUMIFS(Tablo4[İzin Hakediş],Tablo4[Yaş Aralığı],Veri!C121,Tablo4[Kıdem Aralığı],Veri!B121)</f>
        <v>26</v>
      </c>
      <c r="E121" s="18">
        <f t="shared" si="1"/>
        <v>380</v>
      </c>
    </row>
    <row r="122" spans="1:5" ht="16.5" thickTop="1" thickBot="1" x14ac:dyDescent="0.3">
      <c r="A122" s="17" t="s">
        <v>60</v>
      </c>
      <c r="B122" s="17" t="s">
        <v>31</v>
      </c>
      <c r="C122" s="18" t="s">
        <v>32</v>
      </c>
      <c r="D122" s="18">
        <f>SUMIFS(Tablo4[İzin Hakediş],Tablo4[Yaş Aralığı],Veri!C122,Tablo4[Kıdem Aralığı],Veri!B122)</f>
        <v>26</v>
      </c>
      <c r="E122" s="18">
        <f t="shared" si="1"/>
        <v>406</v>
      </c>
    </row>
    <row r="123" spans="1:5" ht="16.5" thickTop="1" thickBot="1" x14ac:dyDescent="0.3">
      <c r="A123" s="17" t="s">
        <v>61</v>
      </c>
      <c r="B123" s="17" t="s">
        <v>31</v>
      </c>
      <c r="C123" s="18" t="s">
        <v>32</v>
      </c>
      <c r="D123" s="18">
        <f>SUMIFS(Tablo4[İzin Hakediş],Tablo4[Yaş Aralığı],Veri!C123,Tablo4[Kıdem Aralığı],Veri!B123)</f>
        <v>26</v>
      </c>
      <c r="E123" s="18">
        <f t="shared" si="1"/>
        <v>432</v>
      </c>
    </row>
    <row r="124" spans="1:5" ht="16.5" thickTop="1" thickBot="1" x14ac:dyDescent="0.3">
      <c r="A124" s="17" t="s">
        <v>62</v>
      </c>
      <c r="B124" s="17" t="s">
        <v>31</v>
      </c>
      <c r="C124" s="18" t="s">
        <v>32</v>
      </c>
      <c r="D124" s="18">
        <f>SUMIFS(Tablo4[İzin Hakediş],Tablo4[Yaş Aralığı],Veri!C124,Tablo4[Kıdem Aralığı],Veri!B124)</f>
        <v>26</v>
      </c>
      <c r="E124" s="18">
        <f t="shared" si="1"/>
        <v>458</v>
      </c>
    </row>
    <row r="125" spans="1:5" ht="16.5" thickTop="1" thickBot="1" x14ac:dyDescent="0.3">
      <c r="A125" s="17" t="s">
        <v>63</v>
      </c>
      <c r="B125" s="17" t="s">
        <v>31</v>
      </c>
      <c r="C125" s="18" t="s">
        <v>32</v>
      </c>
      <c r="D125" s="18">
        <f>SUMIFS(Tablo4[İzin Hakediş],Tablo4[Yaş Aralığı],Veri!C125,Tablo4[Kıdem Aralığı],Veri!B125)</f>
        <v>26</v>
      </c>
      <c r="E125" s="18">
        <f t="shared" si="1"/>
        <v>484</v>
      </c>
    </row>
    <row r="126" spans="1:5" ht="16.5" thickTop="1" thickBot="1" x14ac:dyDescent="0.3">
      <c r="A126" s="17" t="s">
        <v>64</v>
      </c>
      <c r="B126" s="17" t="s">
        <v>31</v>
      </c>
      <c r="C126" s="18" t="s">
        <v>32</v>
      </c>
      <c r="D126" s="18">
        <f>SUMIFS(Tablo4[İzin Hakediş],Tablo4[Yaş Aralığı],Veri!C126,Tablo4[Kıdem Aralığı],Veri!B126)</f>
        <v>26</v>
      </c>
      <c r="E126" s="18">
        <f t="shared" si="1"/>
        <v>510</v>
      </c>
    </row>
    <row r="127" spans="1:5" ht="16.5" thickTop="1" thickBot="1" x14ac:dyDescent="0.3">
      <c r="A127" s="17" t="s">
        <v>65</v>
      </c>
      <c r="B127" s="17" t="s">
        <v>31</v>
      </c>
      <c r="C127" s="18" t="s">
        <v>32</v>
      </c>
      <c r="D127" s="18">
        <f>SUMIFS(Tablo4[İzin Hakediş],Tablo4[Yaş Aralığı],Veri!C127,Tablo4[Kıdem Aralığı],Veri!B127)</f>
        <v>26</v>
      </c>
      <c r="E127" s="18">
        <f t="shared" si="1"/>
        <v>536</v>
      </c>
    </row>
    <row r="128" spans="1:5" ht="16.5" thickTop="1" thickBot="1" x14ac:dyDescent="0.3">
      <c r="A128" s="17" t="s">
        <v>66</v>
      </c>
      <c r="B128" s="17" t="s">
        <v>31</v>
      </c>
      <c r="C128" s="18" t="s">
        <v>32</v>
      </c>
      <c r="D128" s="18">
        <f>SUMIFS(Tablo4[İzin Hakediş],Tablo4[Yaş Aralığı],Veri!C128,Tablo4[Kıdem Aralığı],Veri!B128)</f>
        <v>26</v>
      </c>
      <c r="E128" s="18">
        <f t="shared" si="1"/>
        <v>562</v>
      </c>
    </row>
    <row r="129" spans="1:5" ht="16.5" thickTop="1" thickBot="1" x14ac:dyDescent="0.3">
      <c r="A129" s="17" t="s">
        <v>67</v>
      </c>
      <c r="B129" s="17" t="s">
        <v>31</v>
      </c>
      <c r="C129" s="18" t="s">
        <v>32</v>
      </c>
      <c r="D129" s="18">
        <f>SUMIFS(Tablo4[İzin Hakediş],Tablo4[Yaş Aralığı],Veri!C129,Tablo4[Kıdem Aralığı],Veri!B129)</f>
        <v>26</v>
      </c>
      <c r="E129" s="18">
        <f t="shared" si="1"/>
        <v>588</v>
      </c>
    </row>
    <row r="130" spans="1:5" ht="16.5" thickTop="1" thickBot="1" x14ac:dyDescent="0.3">
      <c r="A130" s="17" t="s">
        <v>68</v>
      </c>
      <c r="B130" s="17" t="s">
        <v>31</v>
      </c>
      <c r="C130" s="18" t="s">
        <v>32</v>
      </c>
      <c r="D130" s="18">
        <f>SUMIFS(Tablo4[İzin Hakediş],Tablo4[Yaş Aralığı],Veri!C130,Tablo4[Kıdem Aralığı],Veri!B130)</f>
        <v>26</v>
      </c>
      <c r="E130" s="18">
        <f t="shared" si="1"/>
        <v>614</v>
      </c>
    </row>
    <row r="131" spans="1:5" ht="16.5" thickTop="1" thickBot="1" x14ac:dyDescent="0.3">
      <c r="A131" s="17" t="s">
        <v>69</v>
      </c>
      <c r="B131" s="17" t="s">
        <v>31</v>
      </c>
      <c r="C131" s="18" t="s">
        <v>32</v>
      </c>
      <c r="D131" s="18">
        <f>SUMIFS(Tablo4[İzin Hakediş],Tablo4[Yaş Aralığı],Veri!C131,Tablo4[Kıdem Aralığı],Veri!B131)</f>
        <v>26</v>
      </c>
      <c r="E131" s="18">
        <f t="shared" si="1"/>
        <v>640</v>
      </c>
    </row>
    <row r="132" spans="1:5" ht="16.5" thickTop="1" thickBot="1" x14ac:dyDescent="0.3">
      <c r="A132" s="17" t="s">
        <v>70</v>
      </c>
      <c r="B132" s="17" t="s">
        <v>31</v>
      </c>
      <c r="C132" s="18" t="s">
        <v>32</v>
      </c>
      <c r="D132" s="18">
        <f>SUMIFS(Tablo4[İzin Hakediş],Tablo4[Yaş Aralığı],Veri!C132,Tablo4[Kıdem Aralığı],Veri!B132)</f>
        <v>26</v>
      </c>
      <c r="E132" s="18">
        <f t="shared" si="1"/>
        <v>666</v>
      </c>
    </row>
    <row r="133" spans="1:5" ht="16.5" thickTop="1" thickBot="1" x14ac:dyDescent="0.3">
      <c r="A133" s="17" t="s">
        <v>71</v>
      </c>
      <c r="B133" s="17" t="s">
        <v>31</v>
      </c>
      <c r="C133" s="18" t="s">
        <v>32</v>
      </c>
      <c r="D133" s="18">
        <f>SUMIFS(Tablo4[İzin Hakediş],Tablo4[Yaş Aralığı],Veri!C133,Tablo4[Kıdem Aralığı],Veri!B133)</f>
        <v>26</v>
      </c>
      <c r="E133" s="18">
        <f t="shared" ref="E133:E196" si="2">E132+D133</f>
        <v>692</v>
      </c>
    </row>
    <row r="134" spans="1:5" ht="16.5" thickTop="1" thickBot="1" x14ac:dyDescent="0.3">
      <c r="A134" s="17" t="s">
        <v>72</v>
      </c>
      <c r="B134" s="17" t="s">
        <v>31</v>
      </c>
      <c r="C134" s="18" t="s">
        <v>32</v>
      </c>
      <c r="D134" s="18">
        <f>SUMIFS(Tablo4[İzin Hakediş],Tablo4[Yaş Aralığı],Veri!C134,Tablo4[Kıdem Aralığı],Veri!B134)</f>
        <v>26</v>
      </c>
      <c r="E134" s="18">
        <f t="shared" si="2"/>
        <v>718</v>
      </c>
    </row>
    <row r="135" spans="1:5" ht="16.5" thickTop="1" thickBot="1" x14ac:dyDescent="0.3">
      <c r="A135" s="17" t="s">
        <v>73</v>
      </c>
      <c r="B135" s="17" t="s">
        <v>31</v>
      </c>
      <c r="C135" s="18" t="s">
        <v>32</v>
      </c>
      <c r="D135" s="18">
        <f>SUMIFS(Tablo4[İzin Hakediş],Tablo4[Yaş Aralığı],Veri!C135,Tablo4[Kıdem Aralığı],Veri!B135)</f>
        <v>26</v>
      </c>
      <c r="E135" s="18">
        <f t="shared" si="2"/>
        <v>744</v>
      </c>
    </row>
    <row r="136" spans="1:5" ht="16.5" thickTop="1" thickBot="1" x14ac:dyDescent="0.3">
      <c r="A136" s="17" t="s">
        <v>74</v>
      </c>
      <c r="B136" s="17" t="s">
        <v>31</v>
      </c>
      <c r="C136" s="18" t="s">
        <v>32</v>
      </c>
      <c r="D136" s="18">
        <f>SUMIFS(Tablo4[İzin Hakediş],Tablo4[Yaş Aralığı],Veri!C136,Tablo4[Kıdem Aralığı],Veri!B136)</f>
        <v>26</v>
      </c>
      <c r="E136" s="18">
        <f t="shared" si="2"/>
        <v>770</v>
      </c>
    </row>
    <row r="137" spans="1:5" ht="16.5" thickTop="1" thickBot="1" x14ac:dyDescent="0.3">
      <c r="A137" s="17" t="s">
        <v>75</v>
      </c>
      <c r="B137" s="17" t="s">
        <v>31</v>
      </c>
      <c r="C137" s="18" t="s">
        <v>32</v>
      </c>
      <c r="D137" s="18">
        <f>SUMIFS(Tablo4[İzin Hakediş],Tablo4[Yaş Aralığı],Veri!C137,Tablo4[Kıdem Aralığı],Veri!B137)</f>
        <v>26</v>
      </c>
      <c r="E137" s="18">
        <f t="shared" si="2"/>
        <v>796</v>
      </c>
    </row>
    <row r="138" spans="1:5" ht="16.5" thickTop="1" thickBot="1" x14ac:dyDescent="0.3">
      <c r="A138" s="17" t="s">
        <v>76</v>
      </c>
      <c r="B138" s="17" t="s">
        <v>31</v>
      </c>
      <c r="C138" s="18" t="s">
        <v>32</v>
      </c>
      <c r="D138" s="18">
        <f>SUMIFS(Tablo4[İzin Hakediş],Tablo4[Yaş Aralığı],Veri!C138,Tablo4[Kıdem Aralığı],Veri!B138)</f>
        <v>26</v>
      </c>
      <c r="E138" s="18">
        <f t="shared" si="2"/>
        <v>822</v>
      </c>
    </row>
    <row r="139" spans="1:5" ht="16.5" thickTop="1" thickBot="1" x14ac:dyDescent="0.3">
      <c r="A139" s="17" t="s">
        <v>77</v>
      </c>
      <c r="B139" s="17" t="s">
        <v>31</v>
      </c>
      <c r="C139" s="18" t="s">
        <v>32</v>
      </c>
      <c r="D139" s="18">
        <f>SUMIFS(Tablo4[İzin Hakediş],Tablo4[Yaş Aralığı],Veri!C139,Tablo4[Kıdem Aralığı],Veri!B139)</f>
        <v>26</v>
      </c>
      <c r="E139" s="18">
        <f t="shared" si="2"/>
        <v>848</v>
      </c>
    </row>
    <row r="140" spans="1:5" ht="16.5" thickTop="1" thickBot="1" x14ac:dyDescent="0.3">
      <c r="A140" s="17" t="s">
        <v>78</v>
      </c>
      <c r="B140" s="17" t="s">
        <v>31</v>
      </c>
      <c r="C140" s="18" t="s">
        <v>32</v>
      </c>
      <c r="D140" s="18">
        <f>SUMIFS(Tablo4[İzin Hakediş],Tablo4[Yaş Aralığı],Veri!C140,Tablo4[Kıdem Aralığı],Veri!B140)</f>
        <v>26</v>
      </c>
      <c r="E140" s="18">
        <f t="shared" si="2"/>
        <v>874</v>
      </c>
    </row>
    <row r="141" spans="1:5" ht="16.5" thickTop="1" thickBot="1" x14ac:dyDescent="0.3">
      <c r="A141" s="17" t="s">
        <v>79</v>
      </c>
      <c r="B141" s="17" t="s">
        <v>31</v>
      </c>
      <c r="C141" s="18" t="s">
        <v>32</v>
      </c>
      <c r="D141" s="18">
        <f>SUMIFS(Tablo4[İzin Hakediş],Tablo4[Yaş Aralığı],Veri!C141,Tablo4[Kıdem Aralığı],Veri!B141)</f>
        <v>26</v>
      </c>
      <c r="E141" s="18">
        <f t="shared" si="2"/>
        <v>900</v>
      </c>
    </row>
    <row r="142" spans="1:5" ht="16.5" thickTop="1" thickBot="1" x14ac:dyDescent="0.3">
      <c r="A142" s="17" t="s">
        <v>80</v>
      </c>
      <c r="B142" s="17" t="s">
        <v>31</v>
      </c>
      <c r="C142" s="18" t="s">
        <v>32</v>
      </c>
      <c r="D142" s="18">
        <f>SUMIFS(Tablo4[İzin Hakediş],Tablo4[Yaş Aralığı],Veri!C142,Tablo4[Kıdem Aralığı],Veri!B142)</f>
        <v>26</v>
      </c>
      <c r="E142" s="18">
        <f t="shared" si="2"/>
        <v>926</v>
      </c>
    </row>
    <row r="143" spans="1:5" ht="16.5" thickTop="1" thickBot="1" x14ac:dyDescent="0.3">
      <c r="A143" s="17" t="s">
        <v>81</v>
      </c>
      <c r="B143" s="17" t="s">
        <v>31</v>
      </c>
      <c r="C143" s="18" t="s">
        <v>32</v>
      </c>
      <c r="D143" s="18">
        <f>SUMIFS(Tablo4[İzin Hakediş],Tablo4[Yaş Aralığı],Veri!C143,Tablo4[Kıdem Aralığı],Veri!B143)</f>
        <v>26</v>
      </c>
      <c r="E143" s="18">
        <f t="shared" si="2"/>
        <v>952</v>
      </c>
    </row>
    <row r="144" spans="1:5" ht="16.5" thickTop="1" thickBot="1" x14ac:dyDescent="0.3">
      <c r="A144" s="17" t="s">
        <v>82</v>
      </c>
      <c r="B144" s="17" t="s">
        <v>31</v>
      </c>
      <c r="C144" s="18" t="s">
        <v>32</v>
      </c>
      <c r="D144" s="18">
        <f>SUMIFS(Tablo4[İzin Hakediş],Tablo4[Yaş Aralığı],Veri!C144,Tablo4[Kıdem Aralığı],Veri!B144)</f>
        <v>26</v>
      </c>
      <c r="E144" s="18">
        <f t="shared" si="2"/>
        <v>978</v>
      </c>
    </row>
    <row r="145" spans="1:5" ht="16.5" thickTop="1" thickBot="1" x14ac:dyDescent="0.3">
      <c r="A145" s="17" t="s">
        <v>83</v>
      </c>
      <c r="B145" s="17" t="s">
        <v>31</v>
      </c>
      <c r="C145" s="18" t="s">
        <v>32</v>
      </c>
      <c r="D145" s="18">
        <f>SUMIFS(Tablo4[İzin Hakediş],Tablo4[Yaş Aralığı],Veri!C145,Tablo4[Kıdem Aralığı],Veri!B145)</f>
        <v>26</v>
      </c>
      <c r="E145" s="18">
        <f t="shared" si="2"/>
        <v>1004</v>
      </c>
    </row>
    <row r="146" spans="1:5" ht="16.5" thickTop="1" thickBot="1" x14ac:dyDescent="0.3">
      <c r="A146" s="17" t="s">
        <v>84</v>
      </c>
      <c r="B146" s="17" t="s">
        <v>31</v>
      </c>
      <c r="C146" s="18" t="s">
        <v>32</v>
      </c>
      <c r="D146" s="18">
        <f>SUMIFS(Tablo4[İzin Hakediş],Tablo4[Yaş Aralığı],Veri!C146,Tablo4[Kıdem Aralığı],Veri!B146)</f>
        <v>26</v>
      </c>
      <c r="E146" s="18">
        <f t="shared" si="2"/>
        <v>1030</v>
      </c>
    </row>
    <row r="147" spans="1:5" ht="16.5" thickTop="1" thickBot="1" x14ac:dyDescent="0.3">
      <c r="A147" s="17" t="s">
        <v>85</v>
      </c>
      <c r="B147" s="17" t="s">
        <v>31</v>
      </c>
      <c r="C147" s="18" t="s">
        <v>32</v>
      </c>
      <c r="D147" s="18">
        <f>SUMIFS(Tablo4[İzin Hakediş],Tablo4[Yaş Aralığı],Veri!C147,Tablo4[Kıdem Aralığı],Veri!B147)</f>
        <v>26</v>
      </c>
      <c r="E147" s="18">
        <f t="shared" si="2"/>
        <v>1056</v>
      </c>
    </row>
    <row r="148" spans="1:5" ht="16.5" thickTop="1" thickBot="1" x14ac:dyDescent="0.3">
      <c r="A148" s="17" t="s">
        <v>86</v>
      </c>
      <c r="B148" s="17" t="s">
        <v>31</v>
      </c>
      <c r="C148" s="18" t="s">
        <v>32</v>
      </c>
      <c r="D148" s="18">
        <f>SUMIFS(Tablo4[İzin Hakediş],Tablo4[Yaş Aralığı],Veri!C148,Tablo4[Kıdem Aralığı],Veri!B148)</f>
        <v>26</v>
      </c>
      <c r="E148" s="18">
        <f t="shared" si="2"/>
        <v>1082</v>
      </c>
    </row>
    <row r="149" spans="1:5" ht="16.5" thickTop="1" thickBot="1" x14ac:dyDescent="0.3">
      <c r="A149" s="17" t="s">
        <v>87</v>
      </c>
      <c r="B149" s="17" t="s">
        <v>31</v>
      </c>
      <c r="C149" s="18" t="s">
        <v>32</v>
      </c>
      <c r="D149" s="18">
        <f>SUMIFS(Tablo4[İzin Hakediş],Tablo4[Yaş Aralığı],Veri!C149,Tablo4[Kıdem Aralığı],Veri!B149)</f>
        <v>26</v>
      </c>
      <c r="E149" s="18">
        <f t="shared" si="2"/>
        <v>1108</v>
      </c>
    </row>
    <row r="150" spans="1:5" ht="16.5" thickTop="1" thickBot="1" x14ac:dyDescent="0.3">
      <c r="A150" s="17" t="s">
        <v>88</v>
      </c>
      <c r="B150" s="17" t="s">
        <v>31</v>
      </c>
      <c r="C150" s="18" t="s">
        <v>32</v>
      </c>
      <c r="D150" s="18">
        <f>SUMIFS(Tablo4[İzin Hakediş],Tablo4[Yaş Aralığı],Veri!C150,Tablo4[Kıdem Aralığı],Veri!B150)</f>
        <v>26</v>
      </c>
      <c r="E150" s="18">
        <f t="shared" si="2"/>
        <v>1134</v>
      </c>
    </row>
    <row r="151" spans="1:5" ht="16.5" thickTop="1" thickBot="1" x14ac:dyDescent="0.3">
      <c r="A151" s="17" t="s">
        <v>89</v>
      </c>
      <c r="B151" s="17" t="s">
        <v>31</v>
      </c>
      <c r="C151" s="18" t="s">
        <v>32</v>
      </c>
      <c r="D151" s="18">
        <f>SUMIFS(Tablo4[İzin Hakediş],Tablo4[Yaş Aralığı],Veri!C151,Tablo4[Kıdem Aralığı],Veri!B151)</f>
        <v>26</v>
      </c>
      <c r="E151" s="18">
        <f t="shared" si="2"/>
        <v>1160</v>
      </c>
    </row>
    <row r="152" spans="1:5" ht="16.5" thickTop="1" thickBot="1" x14ac:dyDescent="0.3">
      <c r="A152" s="17" t="s">
        <v>90</v>
      </c>
      <c r="B152" s="17" t="s">
        <v>31</v>
      </c>
      <c r="C152" s="18" t="s">
        <v>32</v>
      </c>
      <c r="D152" s="18">
        <f>SUMIFS(Tablo4[İzin Hakediş],Tablo4[Yaş Aralığı],Veri!C152,Tablo4[Kıdem Aralığı],Veri!B152)</f>
        <v>26</v>
      </c>
      <c r="E152" s="18">
        <f t="shared" si="2"/>
        <v>1186</v>
      </c>
    </row>
    <row r="153" spans="1:5" ht="16.5" thickTop="1" thickBot="1" x14ac:dyDescent="0.3">
      <c r="A153" s="17" t="s">
        <v>91</v>
      </c>
      <c r="B153" s="17" t="s">
        <v>31</v>
      </c>
      <c r="C153" s="18" t="s">
        <v>32</v>
      </c>
      <c r="D153" s="18">
        <f>SUMIFS(Tablo4[İzin Hakediş],Tablo4[Yaş Aralığı],Veri!C153,Tablo4[Kıdem Aralığı],Veri!B153)</f>
        <v>26</v>
      </c>
      <c r="E153" s="18">
        <f t="shared" si="2"/>
        <v>1212</v>
      </c>
    </row>
    <row r="154" spans="1:5" ht="16.5" thickTop="1" thickBot="1" x14ac:dyDescent="0.3">
      <c r="A154" s="17" t="s">
        <v>92</v>
      </c>
      <c r="B154" s="17" t="s">
        <v>31</v>
      </c>
      <c r="C154" s="18" t="s">
        <v>32</v>
      </c>
      <c r="D154" s="18">
        <f>SUMIFS(Tablo4[İzin Hakediş],Tablo4[Yaş Aralığı],Veri!C154,Tablo4[Kıdem Aralığı],Veri!B154)</f>
        <v>26</v>
      </c>
      <c r="E154" s="18">
        <f t="shared" si="2"/>
        <v>1238</v>
      </c>
    </row>
    <row r="155" spans="1:5" ht="16.5" thickTop="1" thickBot="1" x14ac:dyDescent="0.3">
      <c r="A155" s="17" t="s">
        <v>93</v>
      </c>
      <c r="B155" s="17" t="s">
        <v>31</v>
      </c>
      <c r="C155" s="18" t="s">
        <v>32</v>
      </c>
      <c r="D155" s="18">
        <f>SUMIFS(Tablo4[İzin Hakediş],Tablo4[Yaş Aralığı],Veri!C155,Tablo4[Kıdem Aralığı],Veri!B155)</f>
        <v>26</v>
      </c>
      <c r="E155" s="18">
        <f t="shared" si="2"/>
        <v>1264</v>
      </c>
    </row>
    <row r="156" spans="1:5" ht="16.5" thickTop="1" thickBot="1" x14ac:dyDescent="0.3">
      <c r="A156" s="17" t="s">
        <v>94</v>
      </c>
      <c r="B156" s="17" t="s">
        <v>31</v>
      </c>
      <c r="C156" s="18" t="s">
        <v>32</v>
      </c>
      <c r="D156" s="18">
        <f>SUMIFS(Tablo4[İzin Hakediş],Tablo4[Yaş Aralığı],Veri!C156,Tablo4[Kıdem Aralığı],Veri!B156)</f>
        <v>26</v>
      </c>
      <c r="E156" s="18">
        <f t="shared" si="2"/>
        <v>1290</v>
      </c>
    </row>
    <row r="157" spans="1:5" ht="16.5" thickTop="1" thickBot="1" x14ac:dyDescent="0.3">
      <c r="A157" s="17" t="s">
        <v>95</v>
      </c>
      <c r="B157" s="17" t="s">
        <v>31</v>
      </c>
      <c r="C157" s="18" t="s">
        <v>32</v>
      </c>
      <c r="D157" s="18">
        <f>SUMIFS(Tablo4[İzin Hakediş],Tablo4[Yaş Aralığı],Veri!C157,Tablo4[Kıdem Aralığı],Veri!B157)</f>
        <v>26</v>
      </c>
      <c r="E157" s="18">
        <f t="shared" si="2"/>
        <v>1316</v>
      </c>
    </row>
    <row r="158" spans="1:5" ht="16.5" thickTop="1" thickBot="1" x14ac:dyDescent="0.3">
      <c r="A158" s="17" t="s">
        <v>96</v>
      </c>
      <c r="B158" s="17" t="s">
        <v>31</v>
      </c>
      <c r="C158" s="18" t="s">
        <v>32</v>
      </c>
      <c r="D158" s="18">
        <f>SUMIFS(Tablo4[İzin Hakediş],Tablo4[Yaş Aralığı],Veri!C158,Tablo4[Kıdem Aralığı],Veri!B158)</f>
        <v>26</v>
      </c>
      <c r="E158" s="18">
        <f t="shared" si="2"/>
        <v>1342</v>
      </c>
    </row>
    <row r="159" spans="1:5" ht="16.5" thickTop="1" thickBot="1" x14ac:dyDescent="0.3">
      <c r="A159" s="17" t="s">
        <v>97</v>
      </c>
      <c r="B159" s="17" t="s">
        <v>31</v>
      </c>
      <c r="C159" s="18" t="s">
        <v>32</v>
      </c>
      <c r="D159" s="18">
        <f>SUMIFS(Tablo4[İzin Hakediş],Tablo4[Yaş Aralığı],Veri!C159,Tablo4[Kıdem Aralığı],Veri!B159)</f>
        <v>26</v>
      </c>
      <c r="E159" s="18">
        <f t="shared" si="2"/>
        <v>1368</v>
      </c>
    </row>
    <row r="160" spans="1:5" ht="16.5" thickTop="1" thickBot="1" x14ac:dyDescent="0.3">
      <c r="A160" s="17" t="s">
        <v>98</v>
      </c>
      <c r="B160" s="17" t="s">
        <v>31</v>
      </c>
      <c r="C160" s="18" t="s">
        <v>32</v>
      </c>
      <c r="D160" s="18">
        <f>SUMIFS(Tablo4[İzin Hakediş],Tablo4[Yaş Aralığı],Veri!C160,Tablo4[Kıdem Aralığı],Veri!B160)</f>
        <v>26</v>
      </c>
      <c r="E160" s="18">
        <f t="shared" si="2"/>
        <v>1394</v>
      </c>
    </row>
    <row r="161" spans="1:5" ht="16.5" thickTop="1" thickBot="1" x14ac:dyDescent="0.3">
      <c r="A161" s="17" t="s">
        <v>99</v>
      </c>
      <c r="B161" s="17" t="s">
        <v>31</v>
      </c>
      <c r="C161" s="18" t="s">
        <v>32</v>
      </c>
      <c r="D161" s="18">
        <f>SUMIFS(Tablo4[İzin Hakediş],Tablo4[Yaş Aralığı],Veri!C161,Tablo4[Kıdem Aralığı],Veri!B161)</f>
        <v>26</v>
      </c>
      <c r="E161" s="18">
        <f t="shared" si="2"/>
        <v>1420</v>
      </c>
    </row>
    <row r="162" spans="1:5" ht="16.5" thickTop="1" thickBot="1" x14ac:dyDescent="0.3">
      <c r="A162" s="17" t="s">
        <v>100</v>
      </c>
      <c r="B162" s="17" t="s">
        <v>31</v>
      </c>
      <c r="C162" s="18" t="s">
        <v>32</v>
      </c>
      <c r="D162" s="18">
        <f>SUMIFS(Tablo4[İzin Hakediş],Tablo4[Yaş Aralığı],Veri!C162,Tablo4[Kıdem Aralığı],Veri!B162)</f>
        <v>26</v>
      </c>
      <c r="E162" s="18">
        <f t="shared" si="2"/>
        <v>1446</v>
      </c>
    </row>
    <row r="163" spans="1:5" ht="16.5" thickTop="1" thickBot="1" x14ac:dyDescent="0.3">
      <c r="A163" s="17" t="s">
        <v>101</v>
      </c>
      <c r="B163" s="17" t="s">
        <v>31</v>
      </c>
      <c r="C163" s="18" t="s">
        <v>32</v>
      </c>
      <c r="D163" s="18">
        <f>SUMIFS(Tablo4[İzin Hakediş],Tablo4[Yaş Aralığı],Veri!C163,Tablo4[Kıdem Aralığı],Veri!B163)</f>
        <v>26</v>
      </c>
      <c r="E163" s="18">
        <f t="shared" si="2"/>
        <v>1472</v>
      </c>
    </row>
    <row r="164" spans="1:5" ht="16.5" thickTop="1" thickBot="1" x14ac:dyDescent="0.3">
      <c r="A164" s="17" t="s">
        <v>102</v>
      </c>
      <c r="B164" s="17" t="s">
        <v>31</v>
      </c>
      <c r="C164" s="18" t="s">
        <v>32</v>
      </c>
      <c r="D164" s="18">
        <f>SUMIFS(Tablo4[İzin Hakediş],Tablo4[Yaş Aralığı],Veri!C164,Tablo4[Kıdem Aralığı],Veri!B164)</f>
        <v>26</v>
      </c>
      <c r="E164" s="18">
        <f t="shared" si="2"/>
        <v>1498</v>
      </c>
    </row>
    <row r="165" spans="1:5" ht="16.5" thickTop="1" thickBot="1" x14ac:dyDescent="0.3">
      <c r="A165" s="17" t="s">
        <v>103</v>
      </c>
      <c r="B165" s="17" t="s">
        <v>31</v>
      </c>
      <c r="C165" s="18" t="s">
        <v>32</v>
      </c>
      <c r="D165" s="18">
        <f>SUMIFS(Tablo4[İzin Hakediş],Tablo4[Yaş Aralığı],Veri!C165,Tablo4[Kıdem Aralığı],Veri!B165)</f>
        <v>26</v>
      </c>
      <c r="E165" s="18">
        <f t="shared" si="2"/>
        <v>1524</v>
      </c>
    </row>
    <row r="166" spans="1:5" ht="16.5" thickTop="1" thickBot="1" x14ac:dyDescent="0.3">
      <c r="A166" s="17" t="s">
        <v>104</v>
      </c>
      <c r="B166" s="17" t="s">
        <v>31</v>
      </c>
      <c r="C166" s="18" t="s">
        <v>32</v>
      </c>
      <c r="D166" s="18">
        <f>SUMIFS(Tablo4[İzin Hakediş],Tablo4[Yaş Aralığı],Veri!C166,Tablo4[Kıdem Aralığı],Veri!B166)</f>
        <v>26</v>
      </c>
      <c r="E166" s="18">
        <f t="shared" si="2"/>
        <v>1550</v>
      </c>
    </row>
    <row r="167" spans="1:5" ht="16.5" thickTop="1" thickBot="1" x14ac:dyDescent="0.3">
      <c r="A167" s="17" t="s">
        <v>105</v>
      </c>
      <c r="B167" s="17" t="s">
        <v>31</v>
      </c>
      <c r="C167" s="18" t="s">
        <v>32</v>
      </c>
      <c r="D167" s="18">
        <f>SUMIFS(Tablo4[İzin Hakediş],Tablo4[Yaş Aralığı],Veri!C167,Tablo4[Kıdem Aralığı],Veri!B167)</f>
        <v>26</v>
      </c>
      <c r="E167" s="18">
        <f t="shared" si="2"/>
        <v>1576</v>
      </c>
    </row>
    <row r="168" spans="1:5" ht="16.5" thickTop="1" thickBot="1" x14ac:dyDescent="0.3">
      <c r="A168" s="17" t="s">
        <v>106</v>
      </c>
      <c r="B168" s="17" t="s">
        <v>31</v>
      </c>
      <c r="C168" s="18" t="s">
        <v>32</v>
      </c>
      <c r="D168" s="18">
        <f>SUMIFS(Tablo4[İzin Hakediş],Tablo4[Yaş Aralığı],Veri!C168,Tablo4[Kıdem Aralığı],Veri!B168)</f>
        <v>26</v>
      </c>
      <c r="E168" s="18">
        <f t="shared" si="2"/>
        <v>1602</v>
      </c>
    </row>
    <row r="169" spans="1:5" ht="16.5" thickTop="1" thickBot="1" x14ac:dyDescent="0.3">
      <c r="A169" s="17" t="s">
        <v>107</v>
      </c>
      <c r="B169" s="17" t="s">
        <v>31</v>
      </c>
      <c r="C169" s="18" t="s">
        <v>32</v>
      </c>
      <c r="D169" s="18">
        <f>SUMIFS(Tablo4[İzin Hakediş],Tablo4[Yaş Aralığı],Veri!C169,Tablo4[Kıdem Aralığı],Veri!B169)</f>
        <v>26</v>
      </c>
      <c r="E169" s="18">
        <f t="shared" si="2"/>
        <v>1628</v>
      </c>
    </row>
    <row r="170" spans="1:5" ht="16.5" thickTop="1" thickBot="1" x14ac:dyDescent="0.3">
      <c r="A170" s="17" t="s">
        <v>108</v>
      </c>
      <c r="B170" s="17" t="s">
        <v>31</v>
      </c>
      <c r="C170" s="18" t="s">
        <v>32</v>
      </c>
      <c r="D170" s="18">
        <f>SUMIFS(Tablo4[İzin Hakediş],Tablo4[Yaş Aralığı],Veri!C170,Tablo4[Kıdem Aralığı],Veri!B170)</f>
        <v>26</v>
      </c>
      <c r="E170" s="18">
        <f t="shared" si="2"/>
        <v>1654</v>
      </c>
    </row>
    <row r="171" spans="1:5" ht="16.5" thickTop="1" thickBot="1" x14ac:dyDescent="0.3">
      <c r="A171" s="17" t="s">
        <v>109</v>
      </c>
      <c r="B171" s="17" t="s">
        <v>31</v>
      </c>
      <c r="C171" s="18" t="s">
        <v>32</v>
      </c>
      <c r="D171" s="18">
        <f>SUMIFS(Tablo4[İzin Hakediş],Tablo4[Yaş Aralığı],Veri!C171,Tablo4[Kıdem Aralığı],Veri!B171)</f>
        <v>26</v>
      </c>
      <c r="E171" s="18">
        <f t="shared" si="2"/>
        <v>1680</v>
      </c>
    </row>
    <row r="172" spans="1:5" ht="16.5" thickTop="1" thickBot="1" x14ac:dyDescent="0.3">
      <c r="A172" s="17" t="s">
        <v>110</v>
      </c>
      <c r="B172" s="17" t="s">
        <v>31</v>
      </c>
      <c r="C172" s="18" t="s">
        <v>32</v>
      </c>
      <c r="D172" s="18">
        <f>SUMIFS(Tablo4[İzin Hakediş],Tablo4[Yaş Aralığı],Veri!C172,Tablo4[Kıdem Aralığı],Veri!B172)</f>
        <v>26</v>
      </c>
      <c r="E172" s="18">
        <f t="shared" si="2"/>
        <v>1706</v>
      </c>
    </row>
    <row r="173" spans="1:5" ht="16.5" thickTop="1" thickBot="1" x14ac:dyDescent="0.3">
      <c r="A173" s="17" t="s">
        <v>111</v>
      </c>
      <c r="B173" s="17" t="s">
        <v>31</v>
      </c>
      <c r="C173" s="18" t="s">
        <v>32</v>
      </c>
      <c r="D173" s="18">
        <f>SUMIFS(Tablo4[İzin Hakediş],Tablo4[Yaş Aralığı],Veri!C173,Tablo4[Kıdem Aralığı],Veri!B173)</f>
        <v>26</v>
      </c>
      <c r="E173" s="18">
        <f t="shared" si="2"/>
        <v>1732</v>
      </c>
    </row>
    <row r="174" spans="1:5" ht="16.5" thickTop="1" thickBot="1" x14ac:dyDescent="0.3">
      <c r="A174" s="17" t="s">
        <v>112</v>
      </c>
      <c r="B174" s="17" t="s">
        <v>31</v>
      </c>
      <c r="C174" s="18" t="s">
        <v>32</v>
      </c>
      <c r="D174" s="18">
        <f>SUMIFS(Tablo4[İzin Hakediş],Tablo4[Yaş Aralığı],Veri!C174,Tablo4[Kıdem Aralığı],Veri!B174)</f>
        <v>26</v>
      </c>
      <c r="E174" s="18">
        <f t="shared" si="2"/>
        <v>1758</v>
      </c>
    </row>
    <row r="175" spans="1:5" ht="16.5" thickTop="1" thickBot="1" x14ac:dyDescent="0.3">
      <c r="A175" s="17" t="s">
        <v>113</v>
      </c>
      <c r="B175" s="17" t="s">
        <v>31</v>
      </c>
      <c r="C175" s="18" t="s">
        <v>32</v>
      </c>
      <c r="D175" s="18">
        <f>SUMIFS(Tablo4[İzin Hakediş],Tablo4[Yaş Aralığı],Veri!C175,Tablo4[Kıdem Aralığı],Veri!B175)</f>
        <v>26</v>
      </c>
      <c r="E175" s="18">
        <f t="shared" si="2"/>
        <v>1784</v>
      </c>
    </row>
    <row r="176" spans="1:5" ht="16.5" thickTop="1" thickBot="1" x14ac:dyDescent="0.3">
      <c r="A176" s="17" t="s">
        <v>114</v>
      </c>
      <c r="B176" s="17" t="s">
        <v>31</v>
      </c>
      <c r="C176" s="18" t="s">
        <v>32</v>
      </c>
      <c r="D176" s="18">
        <f>SUMIFS(Tablo4[İzin Hakediş],Tablo4[Yaş Aralığı],Veri!C176,Tablo4[Kıdem Aralığı],Veri!B176)</f>
        <v>26</v>
      </c>
      <c r="E176" s="18">
        <f t="shared" si="2"/>
        <v>1810</v>
      </c>
    </row>
    <row r="177" spans="1:5" ht="16.5" thickTop="1" thickBot="1" x14ac:dyDescent="0.3">
      <c r="A177" s="17" t="s">
        <v>115</v>
      </c>
      <c r="B177" s="17" t="s">
        <v>31</v>
      </c>
      <c r="C177" s="18" t="s">
        <v>32</v>
      </c>
      <c r="D177" s="18">
        <f>SUMIFS(Tablo4[İzin Hakediş],Tablo4[Yaş Aralığı],Veri!C177,Tablo4[Kıdem Aralığı],Veri!B177)</f>
        <v>26</v>
      </c>
      <c r="E177" s="18">
        <f t="shared" si="2"/>
        <v>1836</v>
      </c>
    </row>
    <row r="178" spans="1:5" ht="16.5" thickTop="1" thickBot="1" x14ac:dyDescent="0.3">
      <c r="A178" s="17" t="s">
        <v>116</v>
      </c>
      <c r="B178" s="17" t="s">
        <v>31</v>
      </c>
      <c r="C178" s="18" t="s">
        <v>32</v>
      </c>
      <c r="D178" s="18">
        <f>SUMIFS(Tablo4[İzin Hakediş],Tablo4[Yaş Aralığı],Veri!C178,Tablo4[Kıdem Aralığı],Veri!B178)</f>
        <v>26</v>
      </c>
      <c r="E178" s="18">
        <f t="shared" si="2"/>
        <v>1862</v>
      </c>
    </row>
    <row r="179" spans="1:5" ht="16.5" thickTop="1" thickBot="1" x14ac:dyDescent="0.3">
      <c r="A179" s="17" t="s">
        <v>117</v>
      </c>
      <c r="B179" s="17" t="s">
        <v>31</v>
      </c>
      <c r="C179" s="18" t="s">
        <v>32</v>
      </c>
      <c r="D179" s="18">
        <f>SUMIFS(Tablo4[İzin Hakediş],Tablo4[Yaş Aralığı],Veri!C179,Tablo4[Kıdem Aralığı],Veri!B179)</f>
        <v>26</v>
      </c>
      <c r="E179" s="18">
        <f t="shared" si="2"/>
        <v>1888</v>
      </c>
    </row>
    <row r="180" spans="1:5" ht="16.5" thickTop="1" thickBot="1" x14ac:dyDescent="0.3">
      <c r="A180" s="17" t="s">
        <v>118</v>
      </c>
      <c r="B180" s="17" t="s">
        <v>31</v>
      </c>
      <c r="C180" s="18" t="s">
        <v>32</v>
      </c>
      <c r="D180" s="18">
        <f>SUMIFS(Tablo4[İzin Hakediş],Tablo4[Yaş Aralığı],Veri!C180,Tablo4[Kıdem Aralığı],Veri!B180)</f>
        <v>26</v>
      </c>
      <c r="E180" s="18">
        <f t="shared" si="2"/>
        <v>1914</v>
      </c>
    </row>
    <row r="181" spans="1:5" ht="16.5" thickTop="1" thickBot="1" x14ac:dyDescent="0.3">
      <c r="A181" s="17" t="s">
        <v>119</v>
      </c>
      <c r="B181" s="17" t="s">
        <v>31</v>
      </c>
      <c r="C181" s="18" t="s">
        <v>32</v>
      </c>
      <c r="D181" s="18">
        <f>SUMIFS(Tablo4[İzin Hakediş],Tablo4[Yaş Aralığı],Veri!C181,Tablo4[Kıdem Aralığı],Veri!B181)</f>
        <v>26</v>
      </c>
      <c r="E181" s="18">
        <f t="shared" si="2"/>
        <v>1940</v>
      </c>
    </row>
    <row r="182" spans="1:5" ht="16.5" thickTop="1" thickBot="1" x14ac:dyDescent="0.3">
      <c r="A182" s="17" t="s">
        <v>120</v>
      </c>
      <c r="B182" s="17" t="s">
        <v>31</v>
      </c>
      <c r="C182" s="18" t="s">
        <v>32</v>
      </c>
      <c r="D182" s="18">
        <f>SUMIFS(Tablo4[İzin Hakediş],Tablo4[Yaş Aralığı],Veri!C182,Tablo4[Kıdem Aralığı],Veri!B182)</f>
        <v>26</v>
      </c>
      <c r="E182" s="18">
        <f t="shared" si="2"/>
        <v>1966</v>
      </c>
    </row>
    <row r="183" spans="1:5" ht="16.5" thickTop="1" thickBot="1" x14ac:dyDescent="0.3">
      <c r="A183" s="17" t="s">
        <v>121</v>
      </c>
      <c r="B183" s="17" t="s">
        <v>31</v>
      </c>
      <c r="C183" s="18" t="s">
        <v>32</v>
      </c>
      <c r="D183" s="18">
        <f>SUMIFS(Tablo4[İzin Hakediş],Tablo4[Yaş Aralığı],Veri!C183,Tablo4[Kıdem Aralığı],Veri!B183)</f>
        <v>26</v>
      </c>
      <c r="E183" s="18">
        <f t="shared" si="2"/>
        <v>1992</v>
      </c>
    </row>
    <row r="184" spans="1:5" ht="16.5" thickTop="1" thickBot="1" x14ac:dyDescent="0.3">
      <c r="A184" s="17" t="s">
        <v>122</v>
      </c>
      <c r="B184" s="17" t="s">
        <v>31</v>
      </c>
      <c r="C184" s="18" t="s">
        <v>32</v>
      </c>
      <c r="D184" s="18">
        <f>SUMIFS(Tablo4[İzin Hakediş],Tablo4[Yaş Aralığı],Veri!C184,Tablo4[Kıdem Aralığı],Veri!B184)</f>
        <v>26</v>
      </c>
      <c r="E184" s="18">
        <f t="shared" si="2"/>
        <v>2018</v>
      </c>
    </row>
    <row r="185" spans="1:5" ht="16.5" thickTop="1" thickBot="1" x14ac:dyDescent="0.3">
      <c r="A185" s="17" t="s">
        <v>123</v>
      </c>
      <c r="B185" s="17" t="s">
        <v>31</v>
      </c>
      <c r="C185" s="18" t="s">
        <v>32</v>
      </c>
      <c r="D185" s="18">
        <f>SUMIFS(Tablo4[İzin Hakediş],Tablo4[Yaş Aralığı],Veri!C185,Tablo4[Kıdem Aralığı],Veri!B185)</f>
        <v>26</v>
      </c>
      <c r="E185" s="18">
        <f t="shared" si="2"/>
        <v>2044</v>
      </c>
    </row>
    <row r="186" spans="1:5" ht="16.5" thickTop="1" thickBot="1" x14ac:dyDescent="0.3">
      <c r="A186" s="17" t="s">
        <v>124</v>
      </c>
      <c r="B186" s="17" t="s">
        <v>31</v>
      </c>
      <c r="C186" s="18" t="s">
        <v>32</v>
      </c>
      <c r="D186" s="18">
        <f>SUMIFS(Tablo4[İzin Hakediş],Tablo4[Yaş Aralığı],Veri!C186,Tablo4[Kıdem Aralığı],Veri!B186)</f>
        <v>26</v>
      </c>
      <c r="E186" s="18">
        <f t="shared" si="2"/>
        <v>2070</v>
      </c>
    </row>
    <row r="187" spans="1:5" ht="16.5" thickTop="1" thickBot="1" x14ac:dyDescent="0.3">
      <c r="A187" s="17" t="s">
        <v>125</v>
      </c>
      <c r="B187" s="17" t="s">
        <v>31</v>
      </c>
      <c r="C187" s="18" t="s">
        <v>32</v>
      </c>
      <c r="D187" s="18">
        <f>SUMIFS(Tablo4[İzin Hakediş],Tablo4[Yaş Aralığı],Veri!C187,Tablo4[Kıdem Aralığı],Veri!B187)</f>
        <v>26</v>
      </c>
      <c r="E187" s="18">
        <f t="shared" si="2"/>
        <v>2096</v>
      </c>
    </row>
    <row r="188" spans="1:5" ht="16.5" thickTop="1" thickBot="1" x14ac:dyDescent="0.3">
      <c r="A188" s="17" t="s">
        <v>126</v>
      </c>
      <c r="B188" s="17" t="s">
        <v>31</v>
      </c>
      <c r="C188" s="18" t="s">
        <v>32</v>
      </c>
      <c r="D188" s="18">
        <f>SUMIFS(Tablo4[İzin Hakediş],Tablo4[Yaş Aralığı],Veri!C188,Tablo4[Kıdem Aralığı],Veri!B188)</f>
        <v>26</v>
      </c>
      <c r="E188" s="18">
        <f t="shared" si="2"/>
        <v>2122</v>
      </c>
    </row>
    <row r="189" spans="1:5" ht="16.5" thickTop="1" thickBot="1" x14ac:dyDescent="0.3">
      <c r="A189" s="17" t="s">
        <v>127</v>
      </c>
      <c r="B189" s="17" t="s">
        <v>31</v>
      </c>
      <c r="C189" s="18" t="s">
        <v>32</v>
      </c>
      <c r="D189" s="18">
        <f>SUMIFS(Tablo4[İzin Hakediş],Tablo4[Yaş Aralığı],Veri!C189,Tablo4[Kıdem Aralığı],Veri!B189)</f>
        <v>26</v>
      </c>
      <c r="E189" s="18">
        <f t="shared" si="2"/>
        <v>2148</v>
      </c>
    </row>
    <row r="190" spans="1:5" ht="16.5" thickTop="1" thickBot="1" x14ac:dyDescent="0.3">
      <c r="A190" s="17" t="s">
        <v>128</v>
      </c>
      <c r="B190" s="17" t="s">
        <v>31</v>
      </c>
      <c r="C190" s="18" t="s">
        <v>32</v>
      </c>
      <c r="D190" s="18">
        <f>SUMIFS(Tablo4[İzin Hakediş],Tablo4[Yaş Aralığı],Veri!C190,Tablo4[Kıdem Aralığı],Veri!B190)</f>
        <v>26</v>
      </c>
      <c r="E190" s="18">
        <f t="shared" si="2"/>
        <v>2174</v>
      </c>
    </row>
    <row r="191" spans="1:5" ht="16.5" thickTop="1" thickBot="1" x14ac:dyDescent="0.3">
      <c r="A191" s="17" t="s">
        <v>129</v>
      </c>
      <c r="B191" s="17" t="s">
        <v>31</v>
      </c>
      <c r="C191" s="18" t="s">
        <v>32</v>
      </c>
      <c r="D191" s="18">
        <f>SUMIFS(Tablo4[İzin Hakediş],Tablo4[Yaş Aralığı],Veri!C191,Tablo4[Kıdem Aralığı],Veri!B191)</f>
        <v>26</v>
      </c>
      <c r="E191" s="18">
        <f t="shared" si="2"/>
        <v>2200</v>
      </c>
    </row>
    <row r="192" spans="1:5" ht="16.5" thickTop="1" thickBot="1" x14ac:dyDescent="0.3">
      <c r="A192" s="17" t="s">
        <v>130</v>
      </c>
      <c r="B192" s="17" t="s">
        <v>31</v>
      </c>
      <c r="C192" s="18" t="s">
        <v>32</v>
      </c>
      <c r="D192" s="18">
        <f>SUMIFS(Tablo4[İzin Hakediş],Tablo4[Yaş Aralığı],Veri!C192,Tablo4[Kıdem Aralığı],Veri!B192)</f>
        <v>26</v>
      </c>
      <c r="E192" s="18">
        <f t="shared" si="2"/>
        <v>2226</v>
      </c>
    </row>
    <row r="193" spans="1:5" ht="16.5" thickTop="1" thickBot="1" x14ac:dyDescent="0.3">
      <c r="A193" s="17" t="s">
        <v>131</v>
      </c>
      <c r="B193" s="17" t="s">
        <v>31</v>
      </c>
      <c r="C193" s="18" t="s">
        <v>32</v>
      </c>
      <c r="D193" s="18">
        <f>SUMIFS(Tablo4[İzin Hakediş],Tablo4[Yaş Aralığı],Veri!C193,Tablo4[Kıdem Aralığı],Veri!B193)</f>
        <v>26</v>
      </c>
      <c r="E193" s="18">
        <f t="shared" si="2"/>
        <v>2252</v>
      </c>
    </row>
    <row r="194" spans="1:5" ht="16.5" thickTop="1" thickBot="1" x14ac:dyDescent="0.3">
      <c r="A194" s="17" t="s">
        <v>132</v>
      </c>
      <c r="B194" s="17" t="s">
        <v>31</v>
      </c>
      <c r="C194" s="18" t="s">
        <v>32</v>
      </c>
      <c r="D194" s="18">
        <f>SUMIFS(Tablo4[İzin Hakediş],Tablo4[Yaş Aralığı],Veri!C194,Tablo4[Kıdem Aralığı],Veri!B194)</f>
        <v>26</v>
      </c>
      <c r="E194" s="18">
        <f t="shared" si="2"/>
        <v>2278</v>
      </c>
    </row>
    <row r="195" spans="1:5" ht="16.5" thickTop="1" thickBot="1" x14ac:dyDescent="0.3">
      <c r="A195" s="17" t="s">
        <v>133</v>
      </c>
      <c r="B195" s="17" t="s">
        <v>31</v>
      </c>
      <c r="C195" s="18" t="s">
        <v>32</v>
      </c>
      <c r="D195" s="18">
        <f>SUMIFS(Tablo4[İzin Hakediş],Tablo4[Yaş Aralığı],Veri!C195,Tablo4[Kıdem Aralığı],Veri!B195)</f>
        <v>26</v>
      </c>
      <c r="E195" s="18">
        <f t="shared" si="2"/>
        <v>2304</v>
      </c>
    </row>
    <row r="196" spans="1:5" ht="16.5" thickTop="1" thickBot="1" x14ac:dyDescent="0.3">
      <c r="A196" s="17" t="s">
        <v>134</v>
      </c>
      <c r="B196" s="17" t="s">
        <v>31</v>
      </c>
      <c r="C196" s="18" t="s">
        <v>32</v>
      </c>
      <c r="D196" s="18">
        <f>SUMIFS(Tablo4[İzin Hakediş],Tablo4[Yaş Aralığı],Veri!C196,Tablo4[Kıdem Aralığı],Veri!B196)</f>
        <v>26</v>
      </c>
      <c r="E196" s="18">
        <f t="shared" si="2"/>
        <v>2330</v>
      </c>
    </row>
    <row r="197" spans="1:5" ht="16.5" thickTop="1" thickBot="1" x14ac:dyDescent="0.3">
      <c r="A197" s="17" t="s">
        <v>135</v>
      </c>
      <c r="B197" s="17" t="s">
        <v>31</v>
      </c>
      <c r="C197" s="18" t="s">
        <v>32</v>
      </c>
      <c r="D197" s="18">
        <f>SUMIFS(Tablo4[İzin Hakediş],Tablo4[Yaş Aralığı],Veri!C197,Tablo4[Kıdem Aralığı],Veri!B197)</f>
        <v>26</v>
      </c>
      <c r="E197" s="18">
        <f t="shared" ref="E197:E260" si="3">E196+D197</f>
        <v>2356</v>
      </c>
    </row>
    <row r="198" spans="1:5" ht="16.5" thickTop="1" thickBot="1" x14ac:dyDescent="0.3">
      <c r="A198" s="17" t="s">
        <v>136</v>
      </c>
      <c r="B198" s="17" t="s">
        <v>31</v>
      </c>
      <c r="C198" s="18" t="s">
        <v>32</v>
      </c>
      <c r="D198" s="18">
        <f>SUMIFS(Tablo4[İzin Hakediş],Tablo4[Yaş Aralığı],Veri!C198,Tablo4[Kıdem Aralığı],Veri!B198)</f>
        <v>26</v>
      </c>
      <c r="E198" s="18">
        <f t="shared" si="3"/>
        <v>2382</v>
      </c>
    </row>
    <row r="199" spans="1:5" ht="16.5" thickTop="1" thickBot="1" x14ac:dyDescent="0.3">
      <c r="A199" s="17" t="s">
        <v>137</v>
      </c>
      <c r="B199" s="17" t="s">
        <v>31</v>
      </c>
      <c r="C199" s="18" t="s">
        <v>32</v>
      </c>
      <c r="D199" s="18">
        <f>SUMIFS(Tablo4[İzin Hakediş],Tablo4[Yaş Aralığı],Veri!C199,Tablo4[Kıdem Aralığı],Veri!B199)</f>
        <v>26</v>
      </c>
      <c r="E199" s="18">
        <f t="shared" si="3"/>
        <v>2408</v>
      </c>
    </row>
    <row r="200" spans="1:5" ht="16.5" thickTop="1" thickBot="1" x14ac:dyDescent="0.3">
      <c r="A200" s="17" t="s">
        <v>138</v>
      </c>
      <c r="B200" s="17" t="s">
        <v>31</v>
      </c>
      <c r="C200" s="18" t="s">
        <v>32</v>
      </c>
      <c r="D200" s="18">
        <f>SUMIFS(Tablo4[İzin Hakediş],Tablo4[Yaş Aralığı],Veri!C200,Tablo4[Kıdem Aralığı],Veri!B200)</f>
        <v>26</v>
      </c>
      <c r="E200" s="18">
        <f t="shared" si="3"/>
        <v>2434</v>
      </c>
    </row>
    <row r="201" spans="1:5" ht="16.5" thickTop="1" thickBot="1" x14ac:dyDescent="0.3">
      <c r="A201" s="17" t="s">
        <v>139</v>
      </c>
      <c r="B201" s="17" t="s">
        <v>31</v>
      </c>
      <c r="C201" s="18" t="s">
        <v>32</v>
      </c>
      <c r="D201" s="18">
        <f>SUMIFS(Tablo4[İzin Hakediş],Tablo4[Yaş Aralığı],Veri!C201,Tablo4[Kıdem Aralığı],Veri!B201)</f>
        <v>26</v>
      </c>
      <c r="E201" s="18">
        <f t="shared" si="3"/>
        <v>2460</v>
      </c>
    </row>
    <row r="202" spans="1:5" ht="16.5" thickTop="1" thickBot="1" x14ac:dyDescent="0.3">
      <c r="A202" s="22" t="s">
        <v>40</v>
      </c>
      <c r="B202" s="22">
        <v>0</v>
      </c>
      <c r="C202" s="23" t="s">
        <v>33</v>
      </c>
      <c r="D202" s="23">
        <f>SUMIFS(Tablo4[İzin Hakediş],Tablo4[Yaş Aralığı],Veri!C202,Tablo4[Kıdem Aralığı],Veri!B202)</f>
        <v>0</v>
      </c>
      <c r="E202" s="23">
        <v>0</v>
      </c>
    </row>
    <row r="203" spans="1:5" ht="16.5" thickTop="1" thickBot="1" x14ac:dyDescent="0.3">
      <c r="A203" s="17" t="s">
        <v>41</v>
      </c>
      <c r="B203" s="17" t="s">
        <v>29</v>
      </c>
      <c r="C203" s="18" t="s">
        <v>33</v>
      </c>
      <c r="D203" s="18">
        <f>SUMIFS(Tablo4[İzin Hakediş],Tablo4[Yaş Aralığı],Veri!C203,Tablo4[Kıdem Aralığı],Veri!B203)</f>
        <v>20</v>
      </c>
      <c r="E203" s="18">
        <f t="shared" si="3"/>
        <v>20</v>
      </c>
    </row>
    <row r="204" spans="1:5" ht="16.5" thickTop="1" thickBot="1" x14ac:dyDescent="0.3">
      <c r="A204" s="17" t="s">
        <v>42</v>
      </c>
      <c r="B204" s="17" t="s">
        <v>29</v>
      </c>
      <c r="C204" s="18" t="s">
        <v>33</v>
      </c>
      <c r="D204" s="18">
        <f>SUMIFS(Tablo4[İzin Hakediş],Tablo4[Yaş Aralığı],Veri!C204,Tablo4[Kıdem Aralığı],Veri!B204)</f>
        <v>20</v>
      </c>
      <c r="E204" s="18">
        <f t="shared" si="3"/>
        <v>40</v>
      </c>
    </row>
    <row r="205" spans="1:5" ht="16.5" thickTop="1" thickBot="1" x14ac:dyDescent="0.3">
      <c r="A205" s="17" t="s">
        <v>43</v>
      </c>
      <c r="B205" s="17" t="s">
        <v>29</v>
      </c>
      <c r="C205" s="18" t="s">
        <v>33</v>
      </c>
      <c r="D205" s="18">
        <f>SUMIFS(Tablo4[İzin Hakediş],Tablo4[Yaş Aralığı],Veri!C205,Tablo4[Kıdem Aralığı],Veri!B205)</f>
        <v>20</v>
      </c>
      <c r="E205" s="18">
        <f t="shared" si="3"/>
        <v>60</v>
      </c>
    </row>
    <row r="206" spans="1:5" ht="16.5" thickTop="1" thickBot="1" x14ac:dyDescent="0.3">
      <c r="A206" s="17" t="s">
        <v>44</v>
      </c>
      <c r="B206" s="17" t="s">
        <v>29</v>
      </c>
      <c r="C206" s="18" t="s">
        <v>33</v>
      </c>
      <c r="D206" s="18">
        <f>SUMIFS(Tablo4[İzin Hakediş],Tablo4[Yaş Aralığı],Veri!C206,Tablo4[Kıdem Aralığı],Veri!B206)</f>
        <v>20</v>
      </c>
      <c r="E206" s="18">
        <f t="shared" si="3"/>
        <v>80</v>
      </c>
    </row>
    <row r="207" spans="1:5" ht="16.5" thickTop="1" thickBot="1" x14ac:dyDescent="0.3">
      <c r="A207" s="17" t="s">
        <v>45</v>
      </c>
      <c r="B207" s="17" t="s">
        <v>29</v>
      </c>
      <c r="C207" s="18" t="s">
        <v>33</v>
      </c>
      <c r="D207" s="18">
        <f>SUMIFS(Tablo4[İzin Hakediş],Tablo4[Yaş Aralığı],Veri!C207,Tablo4[Kıdem Aralığı],Veri!B207)</f>
        <v>20</v>
      </c>
      <c r="E207" s="18">
        <f t="shared" si="3"/>
        <v>100</v>
      </c>
    </row>
    <row r="208" spans="1:5" ht="16.5" thickTop="1" thickBot="1" x14ac:dyDescent="0.3">
      <c r="A208" s="17" t="s">
        <v>46</v>
      </c>
      <c r="B208" s="17" t="s">
        <v>30</v>
      </c>
      <c r="C208" s="18" t="s">
        <v>33</v>
      </c>
      <c r="D208" s="18">
        <f>SUMIFS(Tablo4[İzin Hakediş],Tablo4[Yaş Aralığı],Veri!C208,Tablo4[Kıdem Aralığı],Veri!B208)</f>
        <v>20</v>
      </c>
      <c r="E208" s="18">
        <f t="shared" si="3"/>
        <v>120</v>
      </c>
    </row>
    <row r="209" spans="1:5" ht="16.5" thickTop="1" thickBot="1" x14ac:dyDescent="0.3">
      <c r="A209" s="17" t="s">
        <v>47</v>
      </c>
      <c r="B209" s="17" t="s">
        <v>30</v>
      </c>
      <c r="C209" s="18" t="s">
        <v>33</v>
      </c>
      <c r="D209" s="18">
        <f>SUMIFS(Tablo4[İzin Hakediş],Tablo4[Yaş Aralığı],Veri!C209,Tablo4[Kıdem Aralığı],Veri!B209)</f>
        <v>20</v>
      </c>
      <c r="E209" s="18">
        <f t="shared" si="3"/>
        <v>140</v>
      </c>
    </row>
    <row r="210" spans="1:5" ht="16.5" thickTop="1" thickBot="1" x14ac:dyDescent="0.3">
      <c r="A210" s="17" t="s">
        <v>48</v>
      </c>
      <c r="B210" s="17" t="s">
        <v>30</v>
      </c>
      <c r="C210" s="18" t="s">
        <v>33</v>
      </c>
      <c r="D210" s="18">
        <f>SUMIFS(Tablo4[İzin Hakediş],Tablo4[Yaş Aralığı],Veri!C210,Tablo4[Kıdem Aralığı],Veri!B210)</f>
        <v>20</v>
      </c>
      <c r="E210" s="18">
        <f t="shared" si="3"/>
        <v>160</v>
      </c>
    </row>
    <row r="211" spans="1:5" ht="16.5" thickTop="1" thickBot="1" x14ac:dyDescent="0.3">
      <c r="A211" s="17" t="s">
        <v>49</v>
      </c>
      <c r="B211" s="17" t="s">
        <v>30</v>
      </c>
      <c r="C211" s="18" t="s">
        <v>33</v>
      </c>
      <c r="D211" s="18">
        <f>SUMIFS(Tablo4[İzin Hakediş],Tablo4[Yaş Aralığı],Veri!C211,Tablo4[Kıdem Aralığı],Veri!B211)</f>
        <v>20</v>
      </c>
      <c r="E211" s="18">
        <f t="shared" si="3"/>
        <v>180</v>
      </c>
    </row>
    <row r="212" spans="1:5" ht="16.5" thickTop="1" thickBot="1" x14ac:dyDescent="0.3">
      <c r="A212" s="17" t="s">
        <v>50</v>
      </c>
      <c r="B212" s="17" t="s">
        <v>30</v>
      </c>
      <c r="C212" s="18" t="s">
        <v>33</v>
      </c>
      <c r="D212" s="18">
        <f>SUMIFS(Tablo4[İzin Hakediş],Tablo4[Yaş Aralığı],Veri!C212,Tablo4[Kıdem Aralığı],Veri!B212)</f>
        <v>20</v>
      </c>
      <c r="E212" s="18">
        <f t="shared" si="3"/>
        <v>200</v>
      </c>
    </row>
    <row r="213" spans="1:5" ht="16.5" thickTop="1" thickBot="1" x14ac:dyDescent="0.3">
      <c r="A213" s="17" t="s">
        <v>51</v>
      </c>
      <c r="B213" s="17" t="s">
        <v>30</v>
      </c>
      <c r="C213" s="18" t="s">
        <v>33</v>
      </c>
      <c r="D213" s="18">
        <f>SUMIFS(Tablo4[İzin Hakediş],Tablo4[Yaş Aralığı],Veri!C213,Tablo4[Kıdem Aralığı],Veri!B213)</f>
        <v>20</v>
      </c>
      <c r="E213" s="18">
        <f t="shared" si="3"/>
        <v>220</v>
      </c>
    </row>
    <row r="214" spans="1:5" ht="16.5" thickTop="1" thickBot="1" x14ac:dyDescent="0.3">
      <c r="A214" s="17" t="s">
        <v>52</v>
      </c>
      <c r="B214" s="17" t="s">
        <v>30</v>
      </c>
      <c r="C214" s="18" t="s">
        <v>33</v>
      </c>
      <c r="D214" s="18">
        <f>SUMIFS(Tablo4[İzin Hakediş],Tablo4[Yaş Aralığı],Veri!C214,Tablo4[Kıdem Aralığı],Veri!B214)</f>
        <v>20</v>
      </c>
      <c r="E214" s="18">
        <f t="shared" si="3"/>
        <v>240</v>
      </c>
    </row>
    <row r="215" spans="1:5" ht="16.5" thickTop="1" thickBot="1" x14ac:dyDescent="0.3">
      <c r="A215" s="17" t="s">
        <v>53</v>
      </c>
      <c r="B215" s="17" t="s">
        <v>30</v>
      </c>
      <c r="C215" s="18" t="s">
        <v>33</v>
      </c>
      <c r="D215" s="18">
        <f>SUMIFS(Tablo4[İzin Hakediş],Tablo4[Yaş Aralığı],Veri!C215,Tablo4[Kıdem Aralığı],Veri!B215)</f>
        <v>20</v>
      </c>
      <c r="E215" s="18">
        <f t="shared" si="3"/>
        <v>260</v>
      </c>
    </row>
    <row r="216" spans="1:5" ht="16.5" thickTop="1" thickBot="1" x14ac:dyDescent="0.3">
      <c r="A216" s="17" t="s">
        <v>54</v>
      </c>
      <c r="B216" s="17" t="s">
        <v>30</v>
      </c>
      <c r="C216" s="18" t="s">
        <v>33</v>
      </c>
      <c r="D216" s="18">
        <f>SUMIFS(Tablo4[İzin Hakediş],Tablo4[Yaş Aralığı],Veri!C216,Tablo4[Kıdem Aralığı],Veri!B216)</f>
        <v>20</v>
      </c>
      <c r="E216" s="18">
        <f t="shared" si="3"/>
        <v>280</v>
      </c>
    </row>
    <row r="217" spans="1:5" ht="16.5" thickTop="1" thickBot="1" x14ac:dyDescent="0.3">
      <c r="A217" s="17" t="s">
        <v>55</v>
      </c>
      <c r="B217" s="17" t="s">
        <v>31</v>
      </c>
      <c r="C217" s="18" t="s">
        <v>33</v>
      </c>
      <c r="D217" s="18">
        <f>SUMIFS(Tablo4[İzin Hakediş],Tablo4[Yaş Aralığı],Veri!C217,Tablo4[Kıdem Aralığı],Veri!B217)</f>
        <v>26</v>
      </c>
      <c r="E217" s="18">
        <f t="shared" si="3"/>
        <v>306</v>
      </c>
    </row>
    <row r="218" spans="1:5" ht="16.5" thickTop="1" thickBot="1" x14ac:dyDescent="0.3">
      <c r="A218" s="17" t="s">
        <v>56</v>
      </c>
      <c r="B218" s="17" t="s">
        <v>31</v>
      </c>
      <c r="C218" s="18" t="s">
        <v>33</v>
      </c>
      <c r="D218" s="18">
        <f>SUMIFS(Tablo4[İzin Hakediş],Tablo4[Yaş Aralığı],Veri!C218,Tablo4[Kıdem Aralığı],Veri!B218)</f>
        <v>26</v>
      </c>
      <c r="E218" s="18">
        <f t="shared" si="3"/>
        <v>332</v>
      </c>
    </row>
    <row r="219" spans="1:5" ht="16.5" thickTop="1" thickBot="1" x14ac:dyDescent="0.3">
      <c r="A219" s="17" t="s">
        <v>57</v>
      </c>
      <c r="B219" s="17" t="s">
        <v>31</v>
      </c>
      <c r="C219" s="18" t="s">
        <v>33</v>
      </c>
      <c r="D219" s="18">
        <f>SUMIFS(Tablo4[İzin Hakediş],Tablo4[Yaş Aralığı],Veri!C219,Tablo4[Kıdem Aralığı],Veri!B219)</f>
        <v>26</v>
      </c>
      <c r="E219" s="18">
        <f t="shared" si="3"/>
        <v>358</v>
      </c>
    </row>
    <row r="220" spans="1:5" ht="16.5" thickTop="1" thickBot="1" x14ac:dyDescent="0.3">
      <c r="A220" s="17" t="s">
        <v>58</v>
      </c>
      <c r="B220" s="17" t="s">
        <v>31</v>
      </c>
      <c r="C220" s="18" t="s">
        <v>33</v>
      </c>
      <c r="D220" s="18">
        <f>SUMIFS(Tablo4[İzin Hakediş],Tablo4[Yaş Aralığı],Veri!C220,Tablo4[Kıdem Aralığı],Veri!B220)</f>
        <v>26</v>
      </c>
      <c r="E220" s="18">
        <f t="shared" si="3"/>
        <v>384</v>
      </c>
    </row>
    <row r="221" spans="1:5" ht="16.5" thickTop="1" thickBot="1" x14ac:dyDescent="0.3">
      <c r="A221" s="17" t="s">
        <v>59</v>
      </c>
      <c r="B221" s="17" t="s">
        <v>31</v>
      </c>
      <c r="C221" s="18" t="s">
        <v>33</v>
      </c>
      <c r="D221" s="18">
        <f>SUMIFS(Tablo4[İzin Hakediş],Tablo4[Yaş Aralığı],Veri!C221,Tablo4[Kıdem Aralığı],Veri!B221)</f>
        <v>26</v>
      </c>
      <c r="E221" s="18">
        <f t="shared" si="3"/>
        <v>410</v>
      </c>
    </row>
    <row r="222" spans="1:5" ht="16.5" thickTop="1" thickBot="1" x14ac:dyDescent="0.3">
      <c r="A222" s="17" t="s">
        <v>60</v>
      </c>
      <c r="B222" s="17" t="s">
        <v>31</v>
      </c>
      <c r="C222" s="18" t="s">
        <v>33</v>
      </c>
      <c r="D222" s="18">
        <f>SUMIFS(Tablo4[İzin Hakediş],Tablo4[Yaş Aralığı],Veri!C222,Tablo4[Kıdem Aralığı],Veri!B222)</f>
        <v>26</v>
      </c>
      <c r="E222" s="18">
        <f t="shared" si="3"/>
        <v>436</v>
      </c>
    </row>
    <row r="223" spans="1:5" ht="16.5" thickTop="1" thickBot="1" x14ac:dyDescent="0.3">
      <c r="A223" s="17" t="s">
        <v>61</v>
      </c>
      <c r="B223" s="17" t="s">
        <v>31</v>
      </c>
      <c r="C223" s="18" t="s">
        <v>33</v>
      </c>
      <c r="D223" s="18">
        <f>SUMIFS(Tablo4[İzin Hakediş],Tablo4[Yaş Aralığı],Veri!C223,Tablo4[Kıdem Aralığı],Veri!B223)</f>
        <v>26</v>
      </c>
      <c r="E223" s="18">
        <f t="shared" si="3"/>
        <v>462</v>
      </c>
    </row>
    <row r="224" spans="1:5" ht="16.5" thickTop="1" thickBot="1" x14ac:dyDescent="0.3">
      <c r="A224" s="17" t="s">
        <v>62</v>
      </c>
      <c r="B224" s="17" t="s">
        <v>31</v>
      </c>
      <c r="C224" s="18" t="s">
        <v>33</v>
      </c>
      <c r="D224" s="18">
        <f>SUMIFS(Tablo4[İzin Hakediş],Tablo4[Yaş Aralığı],Veri!C224,Tablo4[Kıdem Aralığı],Veri!B224)</f>
        <v>26</v>
      </c>
      <c r="E224" s="18">
        <f t="shared" si="3"/>
        <v>488</v>
      </c>
    </row>
    <row r="225" spans="1:5" ht="16.5" thickTop="1" thickBot="1" x14ac:dyDescent="0.3">
      <c r="A225" s="17" t="s">
        <v>63</v>
      </c>
      <c r="B225" s="17" t="s">
        <v>31</v>
      </c>
      <c r="C225" s="18" t="s">
        <v>33</v>
      </c>
      <c r="D225" s="18">
        <f>SUMIFS(Tablo4[İzin Hakediş],Tablo4[Yaş Aralığı],Veri!C225,Tablo4[Kıdem Aralığı],Veri!B225)</f>
        <v>26</v>
      </c>
      <c r="E225" s="18">
        <f t="shared" si="3"/>
        <v>514</v>
      </c>
    </row>
    <row r="226" spans="1:5" ht="16.5" thickTop="1" thickBot="1" x14ac:dyDescent="0.3">
      <c r="A226" s="17" t="s">
        <v>64</v>
      </c>
      <c r="B226" s="17" t="s">
        <v>31</v>
      </c>
      <c r="C226" s="18" t="s">
        <v>33</v>
      </c>
      <c r="D226" s="18">
        <f>SUMIFS(Tablo4[İzin Hakediş],Tablo4[Yaş Aralığı],Veri!C226,Tablo4[Kıdem Aralığı],Veri!B226)</f>
        <v>26</v>
      </c>
      <c r="E226" s="18">
        <f t="shared" si="3"/>
        <v>540</v>
      </c>
    </row>
    <row r="227" spans="1:5" ht="16.5" thickTop="1" thickBot="1" x14ac:dyDescent="0.3">
      <c r="A227" s="17" t="s">
        <v>65</v>
      </c>
      <c r="B227" s="17" t="s">
        <v>31</v>
      </c>
      <c r="C227" s="18" t="s">
        <v>33</v>
      </c>
      <c r="D227" s="18">
        <f>SUMIFS(Tablo4[İzin Hakediş],Tablo4[Yaş Aralığı],Veri!C227,Tablo4[Kıdem Aralığı],Veri!B227)</f>
        <v>26</v>
      </c>
      <c r="E227" s="18">
        <f t="shared" si="3"/>
        <v>566</v>
      </c>
    </row>
    <row r="228" spans="1:5" ht="16.5" thickTop="1" thickBot="1" x14ac:dyDescent="0.3">
      <c r="A228" s="17" t="s">
        <v>66</v>
      </c>
      <c r="B228" s="17" t="s">
        <v>31</v>
      </c>
      <c r="C228" s="18" t="s">
        <v>33</v>
      </c>
      <c r="D228" s="18">
        <f>SUMIFS(Tablo4[İzin Hakediş],Tablo4[Yaş Aralığı],Veri!C228,Tablo4[Kıdem Aralığı],Veri!B228)</f>
        <v>26</v>
      </c>
      <c r="E228" s="18">
        <f t="shared" si="3"/>
        <v>592</v>
      </c>
    </row>
    <row r="229" spans="1:5" ht="16.5" thickTop="1" thickBot="1" x14ac:dyDescent="0.3">
      <c r="A229" s="17" t="s">
        <v>67</v>
      </c>
      <c r="B229" s="17" t="s">
        <v>31</v>
      </c>
      <c r="C229" s="18" t="s">
        <v>33</v>
      </c>
      <c r="D229" s="18">
        <f>SUMIFS(Tablo4[İzin Hakediş],Tablo4[Yaş Aralığı],Veri!C229,Tablo4[Kıdem Aralığı],Veri!B229)</f>
        <v>26</v>
      </c>
      <c r="E229" s="18">
        <f t="shared" si="3"/>
        <v>618</v>
      </c>
    </row>
    <row r="230" spans="1:5" ht="16.5" thickTop="1" thickBot="1" x14ac:dyDescent="0.3">
      <c r="A230" s="17" t="s">
        <v>68</v>
      </c>
      <c r="B230" s="17" t="s">
        <v>31</v>
      </c>
      <c r="C230" s="18" t="s">
        <v>33</v>
      </c>
      <c r="D230" s="18">
        <f>SUMIFS(Tablo4[İzin Hakediş],Tablo4[Yaş Aralığı],Veri!C230,Tablo4[Kıdem Aralığı],Veri!B230)</f>
        <v>26</v>
      </c>
      <c r="E230" s="18">
        <f t="shared" si="3"/>
        <v>644</v>
      </c>
    </row>
    <row r="231" spans="1:5" ht="16.5" thickTop="1" thickBot="1" x14ac:dyDescent="0.3">
      <c r="A231" s="17" t="s">
        <v>69</v>
      </c>
      <c r="B231" s="17" t="s">
        <v>31</v>
      </c>
      <c r="C231" s="18" t="s">
        <v>33</v>
      </c>
      <c r="D231" s="18">
        <f>SUMIFS(Tablo4[İzin Hakediş],Tablo4[Yaş Aralığı],Veri!C231,Tablo4[Kıdem Aralığı],Veri!B231)</f>
        <v>26</v>
      </c>
      <c r="E231" s="18">
        <f t="shared" si="3"/>
        <v>670</v>
      </c>
    </row>
    <row r="232" spans="1:5" ht="16.5" thickTop="1" thickBot="1" x14ac:dyDescent="0.3">
      <c r="A232" s="17" t="s">
        <v>70</v>
      </c>
      <c r="B232" s="17" t="s">
        <v>31</v>
      </c>
      <c r="C232" s="18" t="s">
        <v>33</v>
      </c>
      <c r="D232" s="18">
        <f>SUMIFS(Tablo4[İzin Hakediş],Tablo4[Yaş Aralığı],Veri!C232,Tablo4[Kıdem Aralığı],Veri!B232)</f>
        <v>26</v>
      </c>
      <c r="E232" s="18">
        <f t="shared" si="3"/>
        <v>696</v>
      </c>
    </row>
    <row r="233" spans="1:5" ht="16.5" thickTop="1" thickBot="1" x14ac:dyDescent="0.3">
      <c r="A233" s="17" t="s">
        <v>71</v>
      </c>
      <c r="B233" s="17" t="s">
        <v>31</v>
      </c>
      <c r="C233" s="18" t="s">
        <v>33</v>
      </c>
      <c r="D233" s="18">
        <f>SUMIFS(Tablo4[İzin Hakediş],Tablo4[Yaş Aralığı],Veri!C233,Tablo4[Kıdem Aralığı],Veri!B233)</f>
        <v>26</v>
      </c>
      <c r="E233" s="18">
        <f t="shared" si="3"/>
        <v>722</v>
      </c>
    </row>
    <row r="234" spans="1:5" ht="16.5" thickTop="1" thickBot="1" x14ac:dyDescent="0.3">
      <c r="A234" s="17" t="s">
        <v>72</v>
      </c>
      <c r="B234" s="17" t="s">
        <v>31</v>
      </c>
      <c r="C234" s="18" t="s">
        <v>33</v>
      </c>
      <c r="D234" s="18">
        <f>SUMIFS(Tablo4[İzin Hakediş],Tablo4[Yaş Aralığı],Veri!C234,Tablo4[Kıdem Aralığı],Veri!B234)</f>
        <v>26</v>
      </c>
      <c r="E234" s="18">
        <f t="shared" si="3"/>
        <v>748</v>
      </c>
    </row>
    <row r="235" spans="1:5" ht="16.5" thickTop="1" thickBot="1" x14ac:dyDescent="0.3">
      <c r="A235" s="17" t="s">
        <v>73</v>
      </c>
      <c r="B235" s="17" t="s">
        <v>31</v>
      </c>
      <c r="C235" s="18" t="s">
        <v>33</v>
      </c>
      <c r="D235" s="18">
        <f>SUMIFS(Tablo4[İzin Hakediş],Tablo4[Yaş Aralığı],Veri!C235,Tablo4[Kıdem Aralığı],Veri!B235)</f>
        <v>26</v>
      </c>
      <c r="E235" s="18">
        <f t="shared" si="3"/>
        <v>774</v>
      </c>
    </row>
    <row r="236" spans="1:5" ht="16.5" thickTop="1" thickBot="1" x14ac:dyDescent="0.3">
      <c r="A236" s="17" t="s">
        <v>74</v>
      </c>
      <c r="B236" s="17" t="s">
        <v>31</v>
      </c>
      <c r="C236" s="18" t="s">
        <v>33</v>
      </c>
      <c r="D236" s="18">
        <f>SUMIFS(Tablo4[İzin Hakediş],Tablo4[Yaş Aralığı],Veri!C236,Tablo4[Kıdem Aralığı],Veri!B236)</f>
        <v>26</v>
      </c>
      <c r="E236" s="18">
        <f t="shared" si="3"/>
        <v>800</v>
      </c>
    </row>
    <row r="237" spans="1:5" ht="16.5" thickTop="1" thickBot="1" x14ac:dyDescent="0.3">
      <c r="A237" s="17" t="s">
        <v>75</v>
      </c>
      <c r="B237" s="17" t="s">
        <v>31</v>
      </c>
      <c r="C237" s="18" t="s">
        <v>33</v>
      </c>
      <c r="D237" s="18">
        <f>SUMIFS(Tablo4[İzin Hakediş],Tablo4[Yaş Aralığı],Veri!C237,Tablo4[Kıdem Aralığı],Veri!B237)</f>
        <v>26</v>
      </c>
      <c r="E237" s="18">
        <f t="shared" si="3"/>
        <v>826</v>
      </c>
    </row>
    <row r="238" spans="1:5" ht="16.5" thickTop="1" thickBot="1" x14ac:dyDescent="0.3">
      <c r="A238" s="17" t="s">
        <v>76</v>
      </c>
      <c r="B238" s="17" t="s">
        <v>31</v>
      </c>
      <c r="C238" s="18" t="s">
        <v>33</v>
      </c>
      <c r="D238" s="18">
        <f>SUMIFS(Tablo4[İzin Hakediş],Tablo4[Yaş Aralığı],Veri!C238,Tablo4[Kıdem Aralığı],Veri!B238)</f>
        <v>26</v>
      </c>
      <c r="E238" s="18">
        <f t="shared" si="3"/>
        <v>852</v>
      </c>
    </row>
    <row r="239" spans="1:5" ht="16.5" thickTop="1" thickBot="1" x14ac:dyDescent="0.3">
      <c r="A239" s="17" t="s">
        <v>77</v>
      </c>
      <c r="B239" s="17" t="s">
        <v>31</v>
      </c>
      <c r="C239" s="18" t="s">
        <v>33</v>
      </c>
      <c r="D239" s="18">
        <f>SUMIFS(Tablo4[İzin Hakediş],Tablo4[Yaş Aralığı],Veri!C239,Tablo4[Kıdem Aralığı],Veri!B239)</f>
        <v>26</v>
      </c>
      <c r="E239" s="18">
        <f t="shared" si="3"/>
        <v>878</v>
      </c>
    </row>
    <row r="240" spans="1:5" ht="16.5" thickTop="1" thickBot="1" x14ac:dyDescent="0.3">
      <c r="A240" s="17" t="s">
        <v>78</v>
      </c>
      <c r="B240" s="17" t="s">
        <v>31</v>
      </c>
      <c r="C240" s="18" t="s">
        <v>33</v>
      </c>
      <c r="D240" s="18">
        <f>SUMIFS(Tablo4[İzin Hakediş],Tablo4[Yaş Aralığı],Veri!C240,Tablo4[Kıdem Aralığı],Veri!B240)</f>
        <v>26</v>
      </c>
      <c r="E240" s="18">
        <f t="shared" si="3"/>
        <v>904</v>
      </c>
    </row>
    <row r="241" spans="1:5" ht="16.5" thickTop="1" thickBot="1" x14ac:dyDescent="0.3">
      <c r="A241" s="17" t="s">
        <v>79</v>
      </c>
      <c r="B241" s="17" t="s">
        <v>31</v>
      </c>
      <c r="C241" s="18" t="s">
        <v>33</v>
      </c>
      <c r="D241" s="18">
        <f>SUMIFS(Tablo4[İzin Hakediş],Tablo4[Yaş Aralığı],Veri!C241,Tablo4[Kıdem Aralığı],Veri!B241)</f>
        <v>26</v>
      </c>
      <c r="E241" s="18">
        <f t="shared" si="3"/>
        <v>930</v>
      </c>
    </row>
    <row r="242" spans="1:5" ht="16.5" thickTop="1" thickBot="1" x14ac:dyDescent="0.3">
      <c r="A242" s="17" t="s">
        <v>80</v>
      </c>
      <c r="B242" s="17" t="s">
        <v>31</v>
      </c>
      <c r="C242" s="18" t="s">
        <v>33</v>
      </c>
      <c r="D242" s="18">
        <f>SUMIFS(Tablo4[İzin Hakediş],Tablo4[Yaş Aralığı],Veri!C242,Tablo4[Kıdem Aralığı],Veri!B242)</f>
        <v>26</v>
      </c>
      <c r="E242" s="18">
        <f t="shared" si="3"/>
        <v>956</v>
      </c>
    </row>
    <row r="243" spans="1:5" ht="16.5" thickTop="1" thickBot="1" x14ac:dyDescent="0.3">
      <c r="A243" s="17" t="s">
        <v>81</v>
      </c>
      <c r="B243" s="17" t="s">
        <v>31</v>
      </c>
      <c r="C243" s="18" t="s">
        <v>33</v>
      </c>
      <c r="D243" s="18">
        <f>SUMIFS(Tablo4[İzin Hakediş],Tablo4[Yaş Aralığı],Veri!C243,Tablo4[Kıdem Aralığı],Veri!B243)</f>
        <v>26</v>
      </c>
      <c r="E243" s="18">
        <f t="shared" si="3"/>
        <v>982</v>
      </c>
    </row>
    <row r="244" spans="1:5" ht="16.5" thickTop="1" thickBot="1" x14ac:dyDescent="0.3">
      <c r="A244" s="17" t="s">
        <v>82</v>
      </c>
      <c r="B244" s="17" t="s">
        <v>31</v>
      </c>
      <c r="C244" s="18" t="s">
        <v>33</v>
      </c>
      <c r="D244" s="18">
        <f>SUMIFS(Tablo4[İzin Hakediş],Tablo4[Yaş Aralığı],Veri!C244,Tablo4[Kıdem Aralığı],Veri!B244)</f>
        <v>26</v>
      </c>
      <c r="E244" s="18">
        <f t="shared" si="3"/>
        <v>1008</v>
      </c>
    </row>
    <row r="245" spans="1:5" ht="16.5" thickTop="1" thickBot="1" x14ac:dyDescent="0.3">
      <c r="A245" s="17" t="s">
        <v>83</v>
      </c>
      <c r="B245" s="17" t="s">
        <v>31</v>
      </c>
      <c r="C245" s="18" t="s">
        <v>33</v>
      </c>
      <c r="D245" s="18">
        <f>SUMIFS(Tablo4[İzin Hakediş],Tablo4[Yaş Aralığı],Veri!C245,Tablo4[Kıdem Aralığı],Veri!B245)</f>
        <v>26</v>
      </c>
      <c r="E245" s="18">
        <f t="shared" si="3"/>
        <v>1034</v>
      </c>
    </row>
    <row r="246" spans="1:5" ht="16.5" thickTop="1" thickBot="1" x14ac:dyDescent="0.3">
      <c r="A246" s="17" t="s">
        <v>84</v>
      </c>
      <c r="B246" s="17" t="s">
        <v>31</v>
      </c>
      <c r="C246" s="18" t="s">
        <v>33</v>
      </c>
      <c r="D246" s="18">
        <f>SUMIFS(Tablo4[İzin Hakediş],Tablo4[Yaş Aralığı],Veri!C246,Tablo4[Kıdem Aralığı],Veri!B246)</f>
        <v>26</v>
      </c>
      <c r="E246" s="18">
        <f t="shared" si="3"/>
        <v>1060</v>
      </c>
    </row>
    <row r="247" spans="1:5" ht="16.5" thickTop="1" thickBot="1" x14ac:dyDescent="0.3">
      <c r="A247" s="17" t="s">
        <v>85</v>
      </c>
      <c r="B247" s="17" t="s">
        <v>31</v>
      </c>
      <c r="C247" s="18" t="s">
        <v>33</v>
      </c>
      <c r="D247" s="18">
        <f>SUMIFS(Tablo4[İzin Hakediş],Tablo4[Yaş Aralığı],Veri!C247,Tablo4[Kıdem Aralığı],Veri!B247)</f>
        <v>26</v>
      </c>
      <c r="E247" s="18">
        <f t="shared" si="3"/>
        <v>1086</v>
      </c>
    </row>
    <row r="248" spans="1:5" ht="16.5" thickTop="1" thickBot="1" x14ac:dyDescent="0.3">
      <c r="A248" s="17" t="s">
        <v>86</v>
      </c>
      <c r="B248" s="17" t="s">
        <v>31</v>
      </c>
      <c r="C248" s="18" t="s">
        <v>33</v>
      </c>
      <c r="D248" s="18">
        <f>SUMIFS(Tablo4[İzin Hakediş],Tablo4[Yaş Aralığı],Veri!C248,Tablo4[Kıdem Aralığı],Veri!B248)</f>
        <v>26</v>
      </c>
      <c r="E248" s="18">
        <f t="shared" si="3"/>
        <v>1112</v>
      </c>
    </row>
    <row r="249" spans="1:5" ht="16.5" thickTop="1" thickBot="1" x14ac:dyDescent="0.3">
      <c r="A249" s="17" t="s">
        <v>87</v>
      </c>
      <c r="B249" s="17" t="s">
        <v>31</v>
      </c>
      <c r="C249" s="18" t="s">
        <v>33</v>
      </c>
      <c r="D249" s="18">
        <f>SUMIFS(Tablo4[İzin Hakediş],Tablo4[Yaş Aralığı],Veri!C249,Tablo4[Kıdem Aralığı],Veri!B249)</f>
        <v>26</v>
      </c>
      <c r="E249" s="18">
        <f t="shared" si="3"/>
        <v>1138</v>
      </c>
    </row>
    <row r="250" spans="1:5" ht="16.5" thickTop="1" thickBot="1" x14ac:dyDescent="0.3">
      <c r="A250" s="17" t="s">
        <v>88</v>
      </c>
      <c r="B250" s="17" t="s">
        <v>31</v>
      </c>
      <c r="C250" s="18" t="s">
        <v>33</v>
      </c>
      <c r="D250" s="18">
        <f>SUMIFS(Tablo4[İzin Hakediş],Tablo4[Yaş Aralığı],Veri!C250,Tablo4[Kıdem Aralığı],Veri!B250)</f>
        <v>26</v>
      </c>
      <c r="E250" s="18">
        <f t="shared" si="3"/>
        <v>1164</v>
      </c>
    </row>
    <row r="251" spans="1:5" ht="16.5" thickTop="1" thickBot="1" x14ac:dyDescent="0.3">
      <c r="A251" s="17" t="s">
        <v>89</v>
      </c>
      <c r="B251" s="17" t="s">
        <v>31</v>
      </c>
      <c r="C251" s="18" t="s">
        <v>33</v>
      </c>
      <c r="D251" s="18">
        <f>SUMIFS(Tablo4[İzin Hakediş],Tablo4[Yaş Aralığı],Veri!C251,Tablo4[Kıdem Aralığı],Veri!B251)</f>
        <v>26</v>
      </c>
      <c r="E251" s="18">
        <f t="shared" si="3"/>
        <v>1190</v>
      </c>
    </row>
    <row r="252" spans="1:5" ht="16.5" thickTop="1" thickBot="1" x14ac:dyDescent="0.3">
      <c r="A252" s="17" t="s">
        <v>90</v>
      </c>
      <c r="B252" s="17" t="s">
        <v>31</v>
      </c>
      <c r="C252" s="18" t="s">
        <v>33</v>
      </c>
      <c r="D252" s="18">
        <f>SUMIFS(Tablo4[İzin Hakediş],Tablo4[Yaş Aralığı],Veri!C252,Tablo4[Kıdem Aralığı],Veri!B252)</f>
        <v>26</v>
      </c>
      <c r="E252" s="18">
        <f t="shared" si="3"/>
        <v>1216</v>
      </c>
    </row>
    <row r="253" spans="1:5" ht="16.5" thickTop="1" thickBot="1" x14ac:dyDescent="0.3">
      <c r="A253" s="17" t="s">
        <v>91</v>
      </c>
      <c r="B253" s="17" t="s">
        <v>31</v>
      </c>
      <c r="C253" s="18" t="s">
        <v>33</v>
      </c>
      <c r="D253" s="18">
        <f>SUMIFS(Tablo4[İzin Hakediş],Tablo4[Yaş Aralığı],Veri!C253,Tablo4[Kıdem Aralığı],Veri!B253)</f>
        <v>26</v>
      </c>
      <c r="E253" s="18">
        <f t="shared" si="3"/>
        <v>1242</v>
      </c>
    </row>
    <row r="254" spans="1:5" ht="16.5" thickTop="1" thickBot="1" x14ac:dyDescent="0.3">
      <c r="A254" s="17" t="s">
        <v>92</v>
      </c>
      <c r="B254" s="17" t="s">
        <v>31</v>
      </c>
      <c r="C254" s="18" t="s">
        <v>33</v>
      </c>
      <c r="D254" s="18">
        <f>SUMIFS(Tablo4[İzin Hakediş],Tablo4[Yaş Aralığı],Veri!C254,Tablo4[Kıdem Aralığı],Veri!B254)</f>
        <v>26</v>
      </c>
      <c r="E254" s="18">
        <f t="shared" si="3"/>
        <v>1268</v>
      </c>
    </row>
    <row r="255" spans="1:5" ht="16.5" thickTop="1" thickBot="1" x14ac:dyDescent="0.3">
      <c r="A255" s="17" t="s">
        <v>93</v>
      </c>
      <c r="B255" s="17" t="s">
        <v>31</v>
      </c>
      <c r="C255" s="18" t="s">
        <v>33</v>
      </c>
      <c r="D255" s="18">
        <f>SUMIFS(Tablo4[İzin Hakediş],Tablo4[Yaş Aralığı],Veri!C255,Tablo4[Kıdem Aralığı],Veri!B255)</f>
        <v>26</v>
      </c>
      <c r="E255" s="18">
        <f t="shared" si="3"/>
        <v>1294</v>
      </c>
    </row>
    <row r="256" spans="1:5" ht="16.5" thickTop="1" thickBot="1" x14ac:dyDescent="0.3">
      <c r="A256" s="17" t="s">
        <v>94</v>
      </c>
      <c r="B256" s="17" t="s">
        <v>31</v>
      </c>
      <c r="C256" s="18" t="s">
        <v>33</v>
      </c>
      <c r="D256" s="18">
        <f>SUMIFS(Tablo4[İzin Hakediş],Tablo4[Yaş Aralığı],Veri!C256,Tablo4[Kıdem Aralığı],Veri!B256)</f>
        <v>26</v>
      </c>
      <c r="E256" s="18">
        <f t="shared" si="3"/>
        <v>1320</v>
      </c>
    </row>
    <row r="257" spans="1:5" ht="16.5" thickTop="1" thickBot="1" x14ac:dyDescent="0.3">
      <c r="A257" s="17" t="s">
        <v>95</v>
      </c>
      <c r="B257" s="17" t="s">
        <v>31</v>
      </c>
      <c r="C257" s="18" t="s">
        <v>33</v>
      </c>
      <c r="D257" s="18">
        <f>SUMIFS(Tablo4[İzin Hakediş],Tablo4[Yaş Aralığı],Veri!C257,Tablo4[Kıdem Aralığı],Veri!B257)</f>
        <v>26</v>
      </c>
      <c r="E257" s="18">
        <f t="shared" si="3"/>
        <v>1346</v>
      </c>
    </row>
    <row r="258" spans="1:5" ht="16.5" thickTop="1" thickBot="1" x14ac:dyDescent="0.3">
      <c r="A258" s="17" t="s">
        <v>96</v>
      </c>
      <c r="B258" s="17" t="s">
        <v>31</v>
      </c>
      <c r="C258" s="18" t="s">
        <v>33</v>
      </c>
      <c r="D258" s="18">
        <f>SUMIFS(Tablo4[İzin Hakediş],Tablo4[Yaş Aralığı],Veri!C258,Tablo4[Kıdem Aralığı],Veri!B258)</f>
        <v>26</v>
      </c>
      <c r="E258" s="18">
        <f t="shared" si="3"/>
        <v>1372</v>
      </c>
    </row>
    <row r="259" spans="1:5" ht="16.5" thickTop="1" thickBot="1" x14ac:dyDescent="0.3">
      <c r="A259" s="17" t="s">
        <v>97</v>
      </c>
      <c r="B259" s="17" t="s">
        <v>31</v>
      </c>
      <c r="C259" s="18" t="s">
        <v>33</v>
      </c>
      <c r="D259" s="18">
        <f>SUMIFS(Tablo4[İzin Hakediş],Tablo4[Yaş Aralığı],Veri!C259,Tablo4[Kıdem Aralığı],Veri!B259)</f>
        <v>26</v>
      </c>
      <c r="E259" s="18">
        <f t="shared" si="3"/>
        <v>1398</v>
      </c>
    </row>
    <row r="260" spans="1:5" ht="16.5" thickTop="1" thickBot="1" x14ac:dyDescent="0.3">
      <c r="A260" s="17" t="s">
        <v>98</v>
      </c>
      <c r="B260" s="17" t="s">
        <v>31</v>
      </c>
      <c r="C260" s="18" t="s">
        <v>33</v>
      </c>
      <c r="D260" s="18">
        <f>SUMIFS(Tablo4[İzin Hakediş],Tablo4[Yaş Aralığı],Veri!C260,Tablo4[Kıdem Aralığı],Veri!B260)</f>
        <v>26</v>
      </c>
      <c r="E260" s="18">
        <f t="shared" si="3"/>
        <v>1424</v>
      </c>
    </row>
    <row r="261" spans="1:5" ht="16.5" thickTop="1" thickBot="1" x14ac:dyDescent="0.3">
      <c r="A261" s="17" t="s">
        <v>99</v>
      </c>
      <c r="B261" s="17" t="s">
        <v>31</v>
      </c>
      <c r="C261" s="18" t="s">
        <v>33</v>
      </c>
      <c r="D261" s="18">
        <f>SUMIFS(Tablo4[İzin Hakediş],Tablo4[Yaş Aralığı],Veri!C261,Tablo4[Kıdem Aralığı],Veri!B261)</f>
        <v>26</v>
      </c>
      <c r="E261" s="18">
        <f t="shared" ref="E261:E301" si="4">E260+D261</f>
        <v>1450</v>
      </c>
    </row>
    <row r="262" spans="1:5" ht="16.5" thickTop="1" thickBot="1" x14ac:dyDescent="0.3">
      <c r="A262" s="17" t="s">
        <v>100</v>
      </c>
      <c r="B262" s="17" t="s">
        <v>31</v>
      </c>
      <c r="C262" s="18" t="s">
        <v>33</v>
      </c>
      <c r="D262" s="18">
        <f>SUMIFS(Tablo4[İzin Hakediş],Tablo4[Yaş Aralığı],Veri!C262,Tablo4[Kıdem Aralığı],Veri!B262)</f>
        <v>26</v>
      </c>
      <c r="E262" s="18">
        <f t="shared" si="4"/>
        <v>1476</v>
      </c>
    </row>
    <row r="263" spans="1:5" ht="16.5" thickTop="1" thickBot="1" x14ac:dyDescent="0.3">
      <c r="A263" s="17" t="s">
        <v>101</v>
      </c>
      <c r="B263" s="17" t="s">
        <v>31</v>
      </c>
      <c r="C263" s="18" t="s">
        <v>33</v>
      </c>
      <c r="D263" s="18">
        <f>SUMIFS(Tablo4[İzin Hakediş],Tablo4[Yaş Aralığı],Veri!C263,Tablo4[Kıdem Aralığı],Veri!B263)</f>
        <v>26</v>
      </c>
      <c r="E263" s="18">
        <f t="shared" si="4"/>
        <v>1502</v>
      </c>
    </row>
    <row r="264" spans="1:5" ht="16.5" thickTop="1" thickBot="1" x14ac:dyDescent="0.3">
      <c r="A264" s="17" t="s">
        <v>102</v>
      </c>
      <c r="B264" s="17" t="s">
        <v>31</v>
      </c>
      <c r="C264" s="18" t="s">
        <v>33</v>
      </c>
      <c r="D264" s="18">
        <f>SUMIFS(Tablo4[İzin Hakediş],Tablo4[Yaş Aralığı],Veri!C264,Tablo4[Kıdem Aralığı],Veri!B264)</f>
        <v>26</v>
      </c>
      <c r="E264" s="18">
        <f t="shared" si="4"/>
        <v>1528</v>
      </c>
    </row>
    <row r="265" spans="1:5" ht="16.5" thickTop="1" thickBot="1" x14ac:dyDescent="0.3">
      <c r="A265" s="17" t="s">
        <v>103</v>
      </c>
      <c r="B265" s="17" t="s">
        <v>31</v>
      </c>
      <c r="C265" s="18" t="s">
        <v>33</v>
      </c>
      <c r="D265" s="18">
        <f>SUMIFS(Tablo4[İzin Hakediş],Tablo4[Yaş Aralığı],Veri!C265,Tablo4[Kıdem Aralığı],Veri!B265)</f>
        <v>26</v>
      </c>
      <c r="E265" s="18">
        <f t="shared" si="4"/>
        <v>1554</v>
      </c>
    </row>
    <row r="266" spans="1:5" ht="16.5" thickTop="1" thickBot="1" x14ac:dyDescent="0.3">
      <c r="A266" s="17" t="s">
        <v>104</v>
      </c>
      <c r="B266" s="17" t="s">
        <v>31</v>
      </c>
      <c r="C266" s="18" t="s">
        <v>33</v>
      </c>
      <c r="D266" s="18">
        <f>SUMIFS(Tablo4[İzin Hakediş],Tablo4[Yaş Aralığı],Veri!C266,Tablo4[Kıdem Aralığı],Veri!B266)</f>
        <v>26</v>
      </c>
      <c r="E266" s="18">
        <f t="shared" si="4"/>
        <v>1580</v>
      </c>
    </row>
    <row r="267" spans="1:5" ht="16.5" thickTop="1" thickBot="1" x14ac:dyDescent="0.3">
      <c r="A267" s="17" t="s">
        <v>105</v>
      </c>
      <c r="B267" s="17" t="s">
        <v>31</v>
      </c>
      <c r="C267" s="18" t="s">
        <v>33</v>
      </c>
      <c r="D267" s="18">
        <f>SUMIFS(Tablo4[İzin Hakediş],Tablo4[Yaş Aralığı],Veri!C267,Tablo4[Kıdem Aralığı],Veri!B267)</f>
        <v>26</v>
      </c>
      <c r="E267" s="18">
        <f t="shared" si="4"/>
        <v>1606</v>
      </c>
    </row>
    <row r="268" spans="1:5" ht="16.5" thickTop="1" thickBot="1" x14ac:dyDescent="0.3">
      <c r="A268" s="17" t="s">
        <v>106</v>
      </c>
      <c r="B268" s="17" t="s">
        <v>31</v>
      </c>
      <c r="C268" s="18" t="s">
        <v>33</v>
      </c>
      <c r="D268" s="18">
        <f>SUMIFS(Tablo4[İzin Hakediş],Tablo4[Yaş Aralığı],Veri!C268,Tablo4[Kıdem Aralığı],Veri!B268)</f>
        <v>26</v>
      </c>
      <c r="E268" s="18">
        <f t="shared" si="4"/>
        <v>1632</v>
      </c>
    </row>
    <row r="269" spans="1:5" ht="16.5" thickTop="1" thickBot="1" x14ac:dyDescent="0.3">
      <c r="A269" s="17" t="s">
        <v>107</v>
      </c>
      <c r="B269" s="17" t="s">
        <v>31</v>
      </c>
      <c r="C269" s="18" t="s">
        <v>33</v>
      </c>
      <c r="D269" s="18">
        <f>SUMIFS(Tablo4[İzin Hakediş],Tablo4[Yaş Aralığı],Veri!C269,Tablo4[Kıdem Aralığı],Veri!B269)</f>
        <v>26</v>
      </c>
      <c r="E269" s="18">
        <f t="shared" si="4"/>
        <v>1658</v>
      </c>
    </row>
    <row r="270" spans="1:5" ht="16.5" thickTop="1" thickBot="1" x14ac:dyDescent="0.3">
      <c r="A270" s="17" t="s">
        <v>108</v>
      </c>
      <c r="B270" s="17" t="s">
        <v>31</v>
      </c>
      <c r="C270" s="18" t="s">
        <v>33</v>
      </c>
      <c r="D270" s="18">
        <f>SUMIFS(Tablo4[İzin Hakediş],Tablo4[Yaş Aralığı],Veri!C270,Tablo4[Kıdem Aralığı],Veri!B270)</f>
        <v>26</v>
      </c>
      <c r="E270" s="18">
        <f t="shared" si="4"/>
        <v>1684</v>
      </c>
    </row>
    <row r="271" spans="1:5" ht="16.5" thickTop="1" thickBot="1" x14ac:dyDescent="0.3">
      <c r="A271" s="17" t="s">
        <v>109</v>
      </c>
      <c r="B271" s="17" t="s">
        <v>31</v>
      </c>
      <c r="C271" s="18" t="s">
        <v>33</v>
      </c>
      <c r="D271" s="18">
        <f>SUMIFS(Tablo4[İzin Hakediş],Tablo4[Yaş Aralığı],Veri!C271,Tablo4[Kıdem Aralığı],Veri!B271)</f>
        <v>26</v>
      </c>
      <c r="E271" s="18">
        <f t="shared" si="4"/>
        <v>1710</v>
      </c>
    </row>
    <row r="272" spans="1:5" ht="16.5" thickTop="1" thickBot="1" x14ac:dyDescent="0.3">
      <c r="A272" s="17" t="s">
        <v>110</v>
      </c>
      <c r="B272" s="17" t="s">
        <v>31</v>
      </c>
      <c r="C272" s="18" t="s">
        <v>33</v>
      </c>
      <c r="D272" s="18">
        <f>SUMIFS(Tablo4[İzin Hakediş],Tablo4[Yaş Aralığı],Veri!C272,Tablo4[Kıdem Aralığı],Veri!B272)</f>
        <v>26</v>
      </c>
      <c r="E272" s="18">
        <f t="shared" si="4"/>
        <v>1736</v>
      </c>
    </row>
    <row r="273" spans="1:5" ht="16.5" thickTop="1" thickBot="1" x14ac:dyDescent="0.3">
      <c r="A273" s="17" t="s">
        <v>111</v>
      </c>
      <c r="B273" s="17" t="s">
        <v>31</v>
      </c>
      <c r="C273" s="18" t="s">
        <v>33</v>
      </c>
      <c r="D273" s="18">
        <f>SUMIFS(Tablo4[İzin Hakediş],Tablo4[Yaş Aralığı],Veri!C273,Tablo4[Kıdem Aralığı],Veri!B273)</f>
        <v>26</v>
      </c>
      <c r="E273" s="18">
        <f t="shared" si="4"/>
        <v>1762</v>
      </c>
    </row>
    <row r="274" spans="1:5" ht="16.5" thickTop="1" thickBot="1" x14ac:dyDescent="0.3">
      <c r="A274" s="17" t="s">
        <v>112</v>
      </c>
      <c r="B274" s="17" t="s">
        <v>31</v>
      </c>
      <c r="C274" s="18" t="s">
        <v>33</v>
      </c>
      <c r="D274" s="18">
        <f>SUMIFS(Tablo4[İzin Hakediş],Tablo4[Yaş Aralığı],Veri!C274,Tablo4[Kıdem Aralığı],Veri!B274)</f>
        <v>26</v>
      </c>
      <c r="E274" s="18">
        <f t="shared" si="4"/>
        <v>1788</v>
      </c>
    </row>
    <row r="275" spans="1:5" ht="16.5" thickTop="1" thickBot="1" x14ac:dyDescent="0.3">
      <c r="A275" s="17" t="s">
        <v>113</v>
      </c>
      <c r="B275" s="17" t="s">
        <v>31</v>
      </c>
      <c r="C275" s="18" t="s">
        <v>33</v>
      </c>
      <c r="D275" s="18">
        <f>SUMIFS(Tablo4[İzin Hakediş],Tablo4[Yaş Aralığı],Veri!C275,Tablo4[Kıdem Aralığı],Veri!B275)</f>
        <v>26</v>
      </c>
      <c r="E275" s="18">
        <f t="shared" si="4"/>
        <v>1814</v>
      </c>
    </row>
    <row r="276" spans="1:5" ht="16.5" thickTop="1" thickBot="1" x14ac:dyDescent="0.3">
      <c r="A276" s="17" t="s">
        <v>114</v>
      </c>
      <c r="B276" s="17" t="s">
        <v>31</v>
      </c>
      <c r="C276" s="18" t="s">
        <v>33</v>
      </c>
      <c r="D276" s="18">
        <f>SUMIFS(Tablo4[İzin Hakediş],Tablo4[Yaş Aralığı],Veri!C276,Tablo4[Kıdem Aralığı],Veri!B276)</f>
        <v>26</v>
      </c>
      <c r="E276" s="18">
        <f t="shared" si="4"/>
        <v>1840</v>
      </c>
    </row>
    <row r="277" spans="1:5" ht="16.5" thickTop="1" thickBot="1" x14ac:dyDescent="0.3">
      <c r="A277" s="17" t="s">
        <v>115</v>
      </c>
      <c r="B277" s="17" t="s">
        <v>31</v>
      </c>
      <c r="C277" s="18" t="s">
        <v>33</v>
      </c>
      <c r="D277" s="18">
        <f>SUMIFS(Tablo4[İzin Hakediş],Tablo4[Yaş Aralığı],Veri!C277,Tablo4[Kıdem Aralığı],Veri!B277)</f>
        <v>26</v>
      </c>
      <c r="E277" s="18">
        <f t="shared" si="4"/>
        <v>1866</v>
      </c>
    </row>
    <row r="278" spans="1:5" ht="16.5" thickTop="1" thickBot="1" x14ac:dyDescent="0.3">
      <c r="A278" s="17" t="s">
        <v>116</v>
      </c>
      <c r="B278" s="17" t="s">
        <v>31</v>
      </c>
      <c r="C278" s="18" t="s">
        <v>33</v>
      </c>
      <c r="D278" s="18">
        <f>SUMIFS(Tablo4[İzin Hakediş],Tablo4[Yaş Aralığı],Veri!C278,Tablo4[Kıdem Aralığı],Veri!B278)</f>
        <v>26</v>
      </c>
      <c r="E278" s="18">
        <f t="shared" si="4"/>
        <v>1892</v>
      </c>
    </row>
    <row r="279" spans="1:5" ht="16.5" thickTop="1" thickBot="1" x14ac:dyDescent="0.3">
      <c r="A279" s="17" t="s">
        <v>117</v>
      </c>
      <c r="B279" s="17" t="s">
        <v>31</v>
      </c>
      <c r="C279" s="18" t="s">
        <v>33</v>
      </c>
      <c r="D279" s="18">
        <f>SUMIFS(Tablo4[İzin Hakediş],Tablo4[Yaş Aralığı],Veri!C279,Tablo4[Kıdem Aralığı],Veri!B279)</f>
        <v>26</v>
      </c>
      <c r="E279" s="18">
        <f t="shared" si="4"/>
        <v>1918</v>
      </c>
    </row>
    <row r="280" spans="1:5" ht="16.5" thickTop="1" thickBot="1" x14ac:dyDescent="0.3">
      <c r="A280" s="17" t="s">
        <v>118</v>
      </c>
      <c r="B280" s="17" t="s">
        <v>31</v>
      </c>
      <c r="C280" s="18" t="s">
        <v>33</v>
      </c>
      <c r="D280" s="18">
        <f>SUMIFS(Tablo4[İzin Hakediş],Tablo4[Yaş Aralığı],Veri!C280,Tablo4[Kıdem Aralığı],Veri!B280)</f>
        <v>26</v>
      </c>
      <c r="E280" s="18">
        <f t="shared" si="4"/>
        <v>1944</v>
      </c>
    </row>
    <row r="281" spans="1:5" ht="16.5" thickTop="1" thickBot="1" x14ac:dyDescent="0.3">
      <c r="A281" s="17" t="s">
        <v>119</v>
      </c>
      <c r="B281" s="17" t="s">
        <v>31</v>
      </c>
      <c r="C281" s="18" t="s">
        <v>33</v>
      </c>
      <c r="D281" s="18">
        <f>SUMIFS(Tablo4[İzin Hakediş],Tablo4[Yaş Aralığı],Veri!C281,Tablo4[Kıdem Aralığı],Veri!B281)</f>
        <v>26</v>
      </c>
      <c r="E281" s="18">
        <f t="shared" si="4"/>
        <v>1970</v>
      </c>
    </row>
    <row r="282" spans="1:5" ht="16.5" thickTop="1" thickBot="1" x14ac:dyDescent="0.3">
      <c r="A282" s="17" t="s">
        <v>120</v>
      </c>
      <c r="B282" s="17" t="s">
        <v>31</v>
      </c>
      <c r="C282" s="18" t="s">
        <v>33</v>
      </c>
      <c r="D282" s="18">
        <f>SUMIFS(Tablo4[İzin Hakediş],Tablo4[Yaş Aralığı],Veri!C282,Tablo4[Kıdem Aralığı],Veri!B282)</f>
        <v>26</v>
      </c>
      <c r="E282" s="18">
        <f t="shared" si="4"/>
        <v>1996</v>
      </c>
    </row>
    <row r="283" spans="1:5" ht="16.5" thickTop="1" thickBot="1" x14ac:dyDescent="0.3">
      <c r="A283" s="17" t="s">
        <v>121</v>
      </c>
      <c r="B283" s="17" t="s">
        <v>31</v>
      </c>
      <c r="C283" s="18" t="s">
        <v>33</v>
      </c>
      <c r="D283" s="18">
        <f>SUMIFS(Tablo4[İzin Hakediş],Tablo4[Yaş Aralığı],Veri!C283,Tablo4[Kıdem Aralığı],Veri!B283)</f>
        <v>26</v>
      </c>
      <c r="E283" s="18">
        <f t="shared" si="4"/>
        <v>2022</v>
      </c>
    </row>
    <row r="284" spans="1:5" ht="16.5" thickTop="1" thickBot="1" x14ac:dyDescent="0.3">
      <c r="A284" s="17" t="s">
        <v>122</v>
      </c>
      <c r="B284" s="17" t="s">
        <v>31</v>
      </c>
      <c r="C284" s="18" t="s">
        <v>33</v>
      </c>
      <c r="D284" s="18">
        <f>SUMIFS(Tablo4[İzin Hakediş],Tablo4[Yaş Aralığı],Veri!C284,Tablo4[Kıdem Aralığı],Veri!B284)</f>
        <v>26</v>
      </c>
      <c r="E284" s="18">
        <f t="shared" si="4"/>
        <v>2048</v>
      </c>
    </row>
    <row r="285" spans="1:5" ht="16.5" thickTop="1" thickBot="1" x14ac:dyDescent="0.3">
      <c r="A285" s="17" t="s">
        <v>123</v>
      </c>
      <c r="B285" s="17" t="s">
        <v>31</v>
      </c>
      <c r="C285" s="18" t="s">
        <v>33</v>
      </c>
      <c r="D285" s="18">
        <f>SUMIFS(Tablo4[İzin Hakediş],Tablo4[Yaş Aralığı],Veri!C285,Tablo4[Kıdem Aralığı],Veri!B285)</f>
        <v>26</v>
      </c>
      <c r="E285" s="18">
        <f t="shared" si="4"/>
        <v>2074</v>
      </c>
    </row>
    <row r="286" spans="1:5" ht="16.5" thickTop="1" thickBot="1" x14ac:dyDescent="0.3">
      <c r="A286" s="17" t="s">
        <v>124</v>
      </c>
      <c r="B286" s="17" t="s">
        <v>31</v>
      </c>
      <c r="C286" s="18" t="s">
        <v>33</v>
      </c>
      <c r="D286" s="18">
        <f>SUMIFS(Tablo4[İzin Hakediş],Tablo4[Yaş Aralığı],Veri!C286,Tablo4[Kıdem Aralığı],Veri!B286)</f>
        <v>26</v>
      </c>
      <c r="E286" s="18">
        <f t="shared" si="4"/>
        <v>2100</v>
      </c>
    </row>
    <row r="287" spans="1:5" ht="16.5" thickTop="1" thickBot="1" x14ac:dyDescent="0.3">
      <c r="A287" s="17" t="s">
        <v>125</v>
      </c>
      <c r="B287" s="17" t="s">
        <v>31</v>
      </c>
      <c r="C287" s="18" t="s">
        <v>33</v>
      </c>
      <c r="D287" s="18">
        <f>SUMIFS(Tablo4[İzin Hakediş],Tablo4[Yaş Aralığı],Veri!C287,Tablo4[Kıdem Aralığı],Veri!B287)</f>
        <v>26</v>
      </c>
      <c r="E287" s="18">
        <f t="shared" si="4"/>
        <v>2126</v>
      </c>
    </row>
    <row r="288" spans="1:5" ht="16.5" thickTop="1" thickBot="1" x14ac:dyDescent="0.3">
      <c r="A288" s="17" t="s">
        <v>126</v>
      </c>
      <c r="B288" s="17" t="s">
        <v>31</v>
      </c>
      <c r="C288" s="18" t="s">
        <v>33</v>
      </c>
      <c r="D288" s="18">
        <f>SUMIFS(Tablo4[İzin Hakediş],Tablo4[Yaş Aralığı],Veri!C288,Tablo4[Kıdem Aralığı],Veri!B288)</f>
        <v>26</v>
      </c>
      <c r="E288" s="18">
        <f t="shared" si="4"/>
        <v>2152</v>
      </c>
    </row>
    <row r="289" spans="1:5" ht="16.5" thickTop="1" thickBot="1" x14ac:dyDescent="0.3">
      <c r="A289" s="17" t="s">
        <v>127</v>
      </c>
      <c r="B289" s="17" t="s">
        <v>31</v>
      </c>
      <c r="C289" s="18" t="s">
        <v>33</v>
      </c>
      <c r="D289" s="18">
        <f>SUMIFS(Tablo4[İzin Hakediş],Tablo4[Yaş Aralığı],Veri!C289,Tablo4[Kıdem Aralığı],Veri!B289)</f>
        <v>26</v>
      </c>
      <c r="E289" s="18">
        <f t="shared" si="4"/>
        <v>2178</v>
      </c>
    </row>
    <row r="290" spans="1:5" ht="16.5" thickTop="1" thickBot="1" x14ac:dyDescent="0.3">
      <c r="A290" s="17" t="s">
        <v>128</v>
      </c>
      <c r="B290" s="17" t="s">
        <v>31</v>
      </c>
      <c r="C290" s="18" t="s">
        <v>33</v>
      </c>
      <c r="D290" s="18">
        <f>SUMIFS(Tablo4[İzin Hakediş],Tablo4[Yaş Aralığı],Veri!C290,Tablo4[Kıdem Aralığı],Veri!B290)</f>
        <v>26</v>
      </c>
      <c r="E290" s="18">
        <f t="shared" si="4"/>
        <v>2204</v>
      </c>
    </row>
    <row r="291" spans="1:5" ht="16.5" thickTop="1" thickBot="1" x14ac:dyDescent="0.3">
      <c r="A291" s="17" t="s">
        <v>129</v>
      </c>
      <c r="B291" s="17" t="s">
        <v>31</v>
      </c>
      <c r="C291" s="18" t="s">
        <v>33</v>
      </c>
      <c r="D291" s="18">
        <f>SUMIFS(Tablo4[İzin Hakediş],Tablo4[Yaş Aralığı],Veri!C291,Tablo4[Kıdem Aralığı],Veri!B291)</f>
        <v>26</v>
      </c>
      <c r="E291" s="18">
        <f t="shared" si="4"/>
        <v>2230</v>
      </c>
    </row>
    <row r="292" spans="1:5" ht="16.5" thickTop="1" thickBot="1" x14ac:dyDescent="0.3">
      <c r="A292" s="17" t="s">
        <v>130</v>
      </c>
      <c r="B292" s="17" t="s">
        <v>31</v>
      </c>
      <c r="C292" s="18" t="s">
        <v>33</v>
      </c>
      <c r="D292" s="18">
        <f>SUMIFS(Tablo4[İzin Hakediş],Tablo4[Yaş Aralığı],Veri!C292,Tablo4[Kıdem Aralığı],Veri!B292)</f>
        <v>26</v>
      </c>
      <c r="E292" s="18">
        <f t="shared" si="4"/>
        <v>2256</v>
      </c>
    </row>
    <row r="293" spans="1:5" ht="16.5" thickTop="1" thickBot="1" x14ac:dyDescent="0.3">
      <c r="A293" s="17" t="s">
        <v>131</v>
      </c>
      <c r="B293" s="17" t="s">
        <v>31</v>
      </c>
      <c r="C293" s="18" t="s">
        <v>33</v>
      </c>
      <c r="D293" s="18">
        <f>SUMIFS(Tablo4[İzin Hakediş],Tablo4[Yaş Aralığı],Veri!C293,Tablo4[Kıdem Aralığı],Veri!B293)</f>
        <v>26</v>
      </c>
      <c r="E293" s="18">
        <f t="shared" si="4"/>
        <v>2282</v>
      </c>
    </row>
    <row r="294" spans="1:5" ht="16.5" thickTop="1" thickBot="1" x14ac:dyDescent="0.3">
      <c r="A294" s="17" t="s">
        <v>132</v>
      </c>
      <c r="B294" s="17" t="s">
        <v>31</v>
      </c>
      <c r="C294" s="18" t="s">
        <v>33</v>
      </c>
      <c r="D294" s="18">
        <f>SUMIFS(Tablo4[İzin Hakediş],Tablo4[Yaş Aralığı],Veri!C294,Tablo4[Kıdem Aralığı],Veri!B294)</f>
        <v>26</v>
      </c>
      <c r="E294" s="18">
        <f t="shared" si="4"/>
        <v>2308</v>
      </c>
    </row>
    <row r="295" spans="1:5" ht="16.5" thickTop="1" thickBot="1" x14ac:dyDescent="0.3">
      <c r="A295" s="17" t="s">
        <v>133</v>
      </c>
      <c r="B295" s="17" t="s">
        <v>31</v>
      </c>
      <c r="C295" s="18" t="s">
        <v>33</v>
      </c>
      <c r="D295" s="18">
        <f>SUMIFS(Tablo4[İzin Hakediş],Tablo4[Yaş Aralığı],Veri!C295,Tablo4[Kıdem Aralığı],Veri!B295)</f>
        <v>26</v>
      </c>
      <c r="E295" s="18">
        <f t="shared" si="4"/>
        <v>2334</v>
      </c>
    </row>
    <row r="296" spans="1:5" ht="16.5" thickTop="1" thickBot="1" x14ac:dyDescent="0.3">
      <c r="A296" s="17" t="s">
        <v>134</v>
      </c>
      <c r="B296" s="17" t="s">
        <v>31</v>
      </c>
      <c r="C296" s="18" t="s">
        <v>33</v>
      </c>
      <c r="D296" s="18">
        <f>SUMIFS(Tablo4[İzin Hakediş],Tablo4[Yaş Aralığı],Veri!C296,Tablo4[Kıdem Aralığı],Veri!B296)</f>
        <v>26</v>
      </c>
      <c r="E296" s="18">
        <f t="shared" si="4"/>
        <v>2360</v>
      </c>
    </row>
    <row r="297" spans="1:5" ht="16.5" thickTop="1" thickBot="1" x14ac:dyDescent="0.3">
      <c r="A297" s="17" t="s">
        <v>135</v>
      </c>
      <c r="B297" s="17" t="s">
        <v>31</v>
      </c>
      <c r="C297" s="18" t="s">
        <v>33</v>
      </c>
      <c r="D297" s="18">
        <f>SUMIFS(Tablo4[İzin Hakediş],Tablo4[Yaş Aralığı],Veri!C297,Tablo4[Kıdem Aralığı],Veri!B297)</f>
        <v>26</v>
      </c>
      <c r="E297" s="18">
        <f t="shared" si="4"/>
        <v>2386</v>
      </c>
    </row>
    <row r="298" spans="1:5" ht="16.5" thickTop="1" thickBot="1" x14ac:dyDescent="0.3">
      <c r="A298" s="17" t="s">
        <v>136</v>
      </c>
      <c r="B298" s="17" t="s">
        <v>31</v>
      </c>
      <c r="C298" s="18" t="s">
        <v>33</v>
      </c>
      <c r="D298" s="18">
        <f>SUMIFS(Tablo4[İzin Hakediş],Tablo4[Yaş Aralığı],Veri!C298,Tablo4[Kıdem Aralığı],Veri!B298)</f>
        <v>26</v>
      </c>
      <c r="E298" s="18">
        <f t="shared" si="4"/>
        <v>2412</v>
      </c>
    </row>
    <row r="299" spans="1:5" ht="16.5" thickTop="1" thickBot="1" x14ac:dyDescent="0.3">
      <c r="A299" s="17" t="s">
        <v>137</v>
      </c>
      <c r="B299" s="17" t="s">
        <v>31</v>
      </c>
      <c r="C299" s="18" t="s">
        <v>33</v>
      </c>
      <c r="D299" s="18">
        <f>SUMIFS(Tablo4[İzin Hakediş],Tablo4[Yaş Aralığı],Veri!C299,Tablo4[Kıdem Aralığı],Veri!B299)</f>
        <v>26</v>
      </c>
      <c r="E299" s="18">
        <f t="shared" si="4"/>
        <v>2438</v>
      </c>
    </row>
    <row r="300" spans="1:5" ht="16.5" thickTop="1" thickBot="1" x14ac:dyDescent="0.3">
      <c r="A300" s="17" t="s">
        <v>138</v>
      </c>
      <c r="B300" s="17" t="s">
        <v>31</v>
      </c>
      <c r="C300" s="18" t="s">
        <v>33</v>
      </c>
      <c r="D300" s="18">
        <f>SUMIFS(Tablo4[İzin Hakediş],Tablo4[Yaş Aralığı],Veri!C300,Tablo4[Kıdem Aralığı],Veri!B300)</f>
        <v>26</v>
      </c>
      <c r="E300" s="18">
        <f t="shared" si="4"/>
        <v>2464</v>
      </c>
    </row>
    <row r="301" spans="1:5" ht="16.5" thickTop="1" thickBot="1" x14ac:dyDescent="0.3">
      <c r="A301" s="17" t="s">
        <v>139</v>
      </c>
      <c r="B301" s="17" t="s">
        <v>31</v>
      </c>
      <c r="C301" s="18" t="s">
        <v>33</v>
      </c>
      <c r="D301" s="18">
        <f>SUMIFS(Tablo4[İzin Hakediş],Tablo4[Yaş Aralığı],Veri!C301,Tablo4[Kıdem Aralığı],Veri!B301)</f>
        <v>26</v>
      </c>
      <c r="E301" s="18">
        <f t="shared" si="4"/>
        <v>2490</v>
      </c>
    </row>
    <row r="302" spans="1:5" ht="15.75" thickTop="1"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59E82-108B-4274-BF2D-1A8245CF848E}">
  <sheetPr codeName="Sayfa7"/>
  <dimension ref="A1:BD1"/>
  <sheetViews>
    <sheetView topLeftCell="D1" workbookViewId="0">
      <selection activeCell="D1" sqref="D1:BD1"/>
    </sheetView>
  </sheetViews>
  <sheetFormatPr defaultRowHeight="15" x14ac:dyDescent="0.25"/>
  <sheetData>
    <row r="1" spans="1:56" x14ac:dyDescent="0.25">
      <c r="A1">
        <v>1995</v>
      </c>
      <c r="B1">
        <v>1996</v>
      </c>
      <c r="C1">
        <v>1997</v>
      </c>
      <c r="D1">
        <v>1998</v>
      </c>
      <c r="E1">
        <v>1999</v>
      </c>
      <c r="F1">
        <v>2000</v>
      </c>
      <c r="G1">
        <v>2001</v>
      </c>
      <c r="H1">
        <v>2002</v>
      </c>
      <c r="I1">
        <v>2003</v>
      </c>
      <c r="J1">
        <v>2004</v>
      </c>
      <c r="K1">
        <v>2005</v>
      </c>
      <c r="L1">
        <v>2006</v>
      </c>
      <c r="M1">
        <v>2007</v>
      </c>
      <c r="N1">
        <v>2008</v>
      </c>
      <c r="O1">
        <v>2009</v>
      </c>
      <c r="P1">
        <v>2010</v>
      </c>
      <c r="Q1">
        <v>2011</v>
      </c>
      <c r="R1">
        <v>2012</v>
      </c>
      <c r="S1">
        <v>2013</v>
      </c>
      <c r="T1">
        <v>2014</v>
      </c>
      <c r="U1">
        <v>2015</v>
      </c>
      <c r="V1">
        <v>2016</v>
      </c>
      <c r="W1">
        <v>2017</v>
      </c>
      <c r="X1">
        <v>2018</v>
      </c>
      <c r="Y1">
        <v>2019</v>
      </c>
      <c r="Z1">
        <v>2020</v>
      </c>
      <c r="AA1">
        <v>2021</v>
      </c>
      <c r="AB1">
        <v>2022</v>
      </c>
      <c r="AC1">
        <v>2023</v>
      </c>
      <c r="AD1">
        <v>2024</v>
      </c>
      <c r="AE1">
        <v>2025</v>
      </c>
      <c r="AF1">
        <v>2026</v>
      </c>
      <c r="AG1">
        <v>2027</v>
      </c>
      <c r="AH1">
        <v>2028</v>
      </c>
      <c r="AI1">
        <v>2029</v>
      </c>
      <c r="AJ1">
        <v>2030</v>
      </c>
      <c r="AK1">
        <v>2031</v>
      </c>
      <c r="AL1">
        <v>2032</v>
      </c>
      <c r="AM1">
        <v>2033</v>
      </c>
      <c r="AN1">
        <v>2034</v>
      </c>
      <c r="AO1">
        <v>2035</v>
      </c>
      <c r="AP1">
        <v>2036</v>
      </c>
      <c r="AQ1">
        <v>2037</v>
      </c>
      <c r="AR1">
        <v>2038</v>
      </c>
      <c r="AS1">
        <v>2039</v>
      </c>
      <c r="AT1">
        <v>2040</v>
      </c>
      <c r="AU1">
        <v>2041</v>
      </c>
      <c r="AV1">
        <v>2042</v>
      </c>
      <c r="AW1">
        <v>2043</v>
      </c>
      <c r="AX1">
        <v>2044</v>
      </c>
      <c r="AY1">
        <v>2045</v>
      </c>
      <c r="AZ1">
        <v>2046</v>
      </c>
      <c r="BA1">
        <v>2047</v>
      </c>
      <c r="BB1">
        <v>2048</v>
      </c>
      <c r="BC1">
        <v>2049</v>
      </c>
      <c r="BD1">
        <v>2050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15</vt:i4>
      </vt:variant>
      <vt:variant>
        <vt:lpstr>Adlandırılmış Aralıklar</vt:lpstr>
      </vt:variant>
      <vt:variant>
        <vt:i4>7</vt:i4>
      </vt:variant>
    </vt:vector>
  </HeadingPairs>
  <TitlesOfParts>
    <vt:vector size="22" baseType="lpstr">
      <vt:lpstr>Ana Sayfa</vt:lpstr>
      <vt:lpstr>İzin Giriş</vt:lpstr>
      <vt:lpstr>Personel</vt:lpstr>
      <vt:lpstr>İşten Ayrılanlar</vt:lpstr>
      <vt:lpstr>ÖZEL İZİNLER</vt:lpstr>
      <vt:lpstr>Yeni Personel Listesi</vt:lpstr>
      <vt:lpstr>RAPOR</vt:lpstr>
      <vt:lpstr>İZİN TALEP FORMU</vt:lpstr>
      <vt:lpstr>MUVAFAKATNAME</vt:lpstr>
      <vt:lpstr>İZİN CETVELİ</vt:lpstr>
      <vt:lpstr>İZİN BİRLEŞTİRİLEN TARİH</vt:lpstr>
      <vt:lpstr>Tatiller</vt:lpstr>
      <vt:lpstr>Ayarlar</vt:lpstr>
      <vt:lpstr>Veri</vt:lpstr>
      <vt:lpstr>Veri2</vt:lpstr>
      <vt:lpstr>ID</vt:lpstr>
      <vt:lpstr>İsim</vt:lpstr>
      <vt:lpstr>Personel</vt:lpstr>
      <vt:lpstr>Resmi_Tatil</vt:lpstr>
      <vt:lpstr>'İzin Giriş'!Yazdırma_Alanı</vt:lpstr>
      <vt:lpstr>RAPOR!Yazdırma_Alanı</vt:lpstr>
      <vt:lpstr>RAPOR!Yazdırma_Başlıkları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Emre Akyüz</dc:creator>
  <cp:lastModifiedBy>Muhammed MUSLU</cp:lastModifiedBy>
  <cp:lastPrinted>2026-08-05T13:54:05Z</cp:lastPrinted>
  <dcterms:created xsi:type="dcterms:W3CDTF">2023-08-10T12:11:59Z</dcterms:created>
  <dcterms:modified xsi:type="dcterms:W3CDTF">2026-08-05T15:32:06Z</dcterms:modified>
</cp:coreProperties>
</file>